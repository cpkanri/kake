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日常水質" sheetId="1" state="visible" r:id="rId1"/>
    <sheet xmlns:r="http://schemas.openxmlformats.org/officeDocument/2006/relationships" name="日常機械設備" sheetId="2" state="visible" r:id="rId2"/>
    <sheet xmlns:r="http://schemas.openxmlformats.org/officeDocument/2006/relationships" name="日常電気設備" sheetId="3" state="visible" r:id="rId3"/>
    <sheet xmlns:r="http://schemas.openxmlformats.org/officeDocument/2006/relationships" name="運転管理月報" sheetId="4" state="visible" r:id="rId4"/>
    <sheet xmlns:r="http://schemas.openxmlformats.org/officeDocument/2006/relationships" name="水質管理報告" sheetId="5" state="visible" r:id="rId5"/>
    <sheet xmlns:r="http://schemas.openxmlformats.org/officeDocument/2006/relationships" name="機器運転時間" sheetId="6" state="visible" r:id="rId6"/>
  </sheets>
  <definedNames>
    <definedName name="_xlnm.Print_Area" localSheetId="0">'日常水質'!$A$1:$R$230</definedName>
    <definedName name="Excel_BuiltIn__FilterDatabase" localSheetId="1" hidden="0" function="0" vbProcedure="0">日常機械設備!$P$11:$P$12</definedName>
    <definedName name="_xlnm.Print_Area" localSheetId="1">'日常機械設備'!$A$1:$O$660</definedName>
    <definedName name="Excel_BuiltIn__FilterDatabase" localSheetId="2" hidden="0" function="0" vbProcedure="0">日常電気設備!$G$159:$K$159</definedName>
    <definedName name="_xlnm.Print_Area" localSheetId="2">'日常電気設備'!$A$1:$L$355</definedName>
    <definedName name="_xlnm.Print_Area" localSheetId="3">'運転管理月報'!$A$1:$N$40</definedName>
    <definedName name="_xlnm.Print_Area" localSheetId="4">'水質管理報告'!$A$1:$Q$82</definedName>
  </definedNames>
  <calcPr calcId="124519" fullCalcOnLoad="1" refMode="A1" iterate="0" iterateCount="100" iterateDelta="0.0001"/>
</workbook>
</file>

<file path=xl/styles.xml><?xml version="1.0" encoding="utf-8"?>
<styleSheet xmlns="http://schemas.openxmlformats.org/spreadsheetml/2006/main">
  <numFmts count="19">
    <numFmt numFmtId="164" formatCode="m\月d&quot;日(&quot;AAA\)"/>
    <numFmt numFmtId="165" formatCode="0.000_);[RED]\(0.000\)"/>
    <numFmt numFmtId="166" formatCode="0.00_ "/>
    <numFmt numFmtId="167" formatCode="0.0000_ "/>
    <numFmt numFmtId="168" formatCode="0_);[RED]\(0\)"/>
    <numFmt numFmtId="169" formatCode="0.0_);[RED]\(0.0\)"/>
    <numFmt numFmtId="170" formatCode="0.00_);[RED]\(0.00\)"/>
    <numFmt numFmtId="171" formatCode="0_ "/>
    <numFmt numFmtId="172" formatCode="0.0_ "/>
    <numFmt numFmtId="173" formatCode="0.0000_);[RED]\(0.0000\)"/>
    <numFmt numFmtId="174" formatCode="0.000"/>
    <numFmt numFmtId="175" formatCode="0.000_ "/>
    <numFmt numFmtId="176" formatCode="d&quot;日(&quot;AAA\)"/>
    <numFmt numFmtId="177" formatCode="0.0"/>
    <numFmt numFmtId="178" formatCode="0\日"/>
    <numFmt numFmtId="179" formatCode="d"/>
    <numFmt numFmtId="180" formatCode="AAA"/>
    <numFmt numFmtId="181" formatCode="[$-409]#,##0_);[RED]\(#,##0\)"/>
    <numFmt numFmtId="182" formatCode="[$-409]m/d/yyyy"/>
  </numFmts>
  <fonts count="41">
    <font>
      <name val="ＭＳ Ｐゴシック"/>
      <charset val="128"/>
      <family val="0"/>
      <sz val="11"/>
    </font>
    <font>
      <name val="Arial"/>
      <family val="0"/>
      <sz val="10"/>
    </font>
    <font>
      <name val="Arial"/>
      <family val="0"/>
      <sz val="10"/>
    </font>
    <font>
      <name val="Arial"/>
      <family val="0"/>
      <sz val="10"/>
    </font>
    <font>
      <name val="ＭＳ Ｐ明朝"/>
      <charset val="128"/>
      <family val="1"/>
      <sz val="11"/>
    </font>
    <font>
      <name val="Noto Sans CJK SC"/>
      <charset val="1"/>
      <family val="2"/>
      <sz val="20"/>
    </font>
    <font>
      <name val="Noto Sans CJK SC"/>
      <charset val="1"/>
      <family val="2"/>
      <sz val="11"/>
    </font>
    <font>
      <name val="Noto Sans CJK SC"/>
      <family val="2"/>
      <sz val="11"/>
    </font>
    <font>
      <name val="Noto Sans CJK SC"/>
      <charset val="1"/>
      <family val="2"/>
      <sz val="24"/>
    </font>
    <font>
      <name val="ＭＳ Ｐ明朝"/>
      <charset val="128"/>
      <family val="1"/>
      <sz val="24"/>
    </font>
    <font>
      <name val="Noto Sans CJK SC"/>
      <charset val="1"/>
      <family val="2"/>
      <sz val="18"/>
    </font>
    <font>
      <name val="Noto Sans CJK SC"/>
      <charset val="1"/>
      <family val="2"/>
      <sz val="10"/>
    </font>
    <font>
      <name val="ＭＳ Ｐ明朝"/>
      <charset val="128"/>
      <family val="1"/>
      <sz val="10"/>
    </font>
    <font>
      <name val="ＭＳ Ｐ明朝"/>
      <charset val="128"/>
      <family val="1"/>
      <sz val="12"/>
    </font>
    <font>
      <name val="Noto Sans CJK SC"/>
      <charset val="1"/>
      <family val="2"/>
      <sz val="12"/>
    </font>
    <font>
      <name val="Noto Sans CJK SC"/>
      <charset val="1"/>
      <family val="2"/>
      <sz val="9"/>
    </font>
    <font>
      <name val="Noto Sans CJK SC"/>
      <charset val="1"/>
      <family val="2"/>
      <color rgb="FF000000"/>
      <sz val="10"/>
    </font>
    <font>
      <name val="ＭＳ Ｐ明朝"/>
      <charset val="128"/>
      <family val="1"/>
      <color rgb="FF000000"/>
      <sz val="12"/>
    </font>
    <font>
      <name val="Noto Sans CJK SC"/>
      <charset val="1"/>
      <family val="2"/>
      <color rgb="FF000000"/>
      <sz val="12"/>
    </font>
    <font>
      <name val="ＭＳ Ｐ明朝"/>
      <charset val="128"/>
      <family val="1"/>
      <color rgb="FF000000"/>
      <sz val="10"/>
    </font>
    <font>
      <name val="Noto Sans CJK SC"/>
      <family val="2"/>
      <sz val="10"/>
    </font>
    <font>
      <name val="ＭＳ Ｐ明朝"/>
      <charset val="1"/>
      <family val="0"/>
      <color rgb="FF000000"/>
      <sz val="10"/>
    </font>
    <font>
      <name val="Noto Sans CJK SC"/>
      <charset val="1"/>
      <family val="0"/>
      <color rgb="FF000000"/>
      <sz val="10"/>
    </font>
    <font>
      <name val="Noto Sans CJK SC"/>
      <charset val="1"/>
      <family val="2"/>
      <sz val="11"/>
      <u val="single"/>
    </font>
    <font>
      <name val="ＭＳ Ｐ明朝"/>
      <charset val="128"/>
      <family val="1"/>
      <sz val="11"/>
      <u val="single"/>
    </font>
    <font>
      <name val="Noto Sans CJK SC"/>
      <charset val="1"/>
      <family val="2"/>
      <sz val="16"/>
    </font>
    <font>
      <name val="ＭＳ Ｐゴシック"/>
      <sz val="20"/>
    </font>
    <font>
      <name val="ＭＳ Ｐゴシック"/>
      <sz val="11"/>
    </font>
    <font>
      <name val="ＭＳ Ｐ明朝"/>
      <sz val="11"/>
    </font>
    <font>
      <name val="ＭＳ Ｐゴシック"/>
      <sz val="24"/>
    </font>
    <font>
      <name val="ＭＳ Ｐゴシック"/>
      <sz val="18"/>
    </font>
    <font>
      <name val="ＭＳ Ｐ明朝"/>
      <sz val="10"/>
    </font>
    <font>
      <name val="ＭＳ Ｐゴシック"/>
      <sz val="10"/>
    </font>
    <font>
      <name val="ＭＳ Ｐ明朝"/>
      <sz val="12"/>
    </font>
    <font>
      <name val="ＭＳ Ｐ明朝"/>
      <sz val="9"/>
    </font>
    <font>
      <name val="ＭＳ Ｐ明朝"/>
      <color rgb="FF000000"/>
      <sz val="10"/>
    </font>
    <font>
      <name val="ＭＳ Ｐ明朝"/>
      <color rgb="FF000000"/>
      <sz val="12"/>
    </font>
    <font>
      <name val="ＭＳ Ｐゴシック"/>
      <sz val="12"/>
    </font>
    <font>
      <name val="ＭＳ Ｐゴシック"/>
      <sz val="11"/>
      <u val="single"/>
    </font>
    <font>
      <name val="ＭＳ Ｐ明朝"/>
      <sz val="11"/>
      <u val="single"/>
    </font>
    <font>
      <name val="ＭＳ Ｐゴシック"/>
      <sz val="16"/>
    </font>
  </fonts>
  <fills count="3">
    <fill>
      <patternFill/>
    </fill>
    <fill>
      <patternFill patternType="gray125"/>
    </fill>
    <fill>
      <patternFill patternType="solid">
        <fgColor rgb="FFFFFFFF"/>
        <bgColor rgb="FFFFFFCC"/>
      </patternFill>
    </fill>
  </fills>
  <borders count="172">
    <border>
      <left/>
      <right/>
      <top/>
      <bottom/>
      <diagonal/>
    </border>
    <border>
      <left/>
      <right/>
      <top/>
      <bottom style="medium"/>
      <diagonal/>
    </border>
    <border>
      <left style="medium"/>
      <right style="thin"/>
      <top style="medium"/>
      <bottom style="thin"/>
      <diagonal/>
    </border>
    <border>
      <left style="thin"/>
      <right style="thin"/>
      <top style="medium"/>
      <bottom style="thin"/>
      <diagonal/>
    </border>
    <border>
      <left style="thin"/>
      <right style="medium"/>
      <top style="medium"/>
      <bottom style="thin"/>
      <diagonal/>
    </border>
    <border>
      <left style="medium"/>
      <right style="thin"/>
      <top style="thin"/>
      <bottom style="thin"/>
      <diagonal/>
    </border>
    <border>
      <left style="thin"/>
      <right style="thin"/>
      <top style="thin"/>
      <bottom style="thin"/>
      <diagonal/>
    </border>
    <border>
      <left style="thin"/>
      <right/>
      <top style="thin"/>
      <bottom style="thin"/>
      <diagonal/>
    </border>
    <border>
      <left style="thin"/>
      <right style="medium"/>
      <top style="thin"/>
      <bottom style="thin"/>
      <diagonal/>
    </border>
    <border>
      <left style="medium"/>
      <right style="thin"/>
      <top style="thin"/>
      <bottom/>
      <diagonal/>
    </border>
    <border>
      <left style="thin"/>
      <right style="thin"/>
      <top style="thin"/>
      <bottom/>
      <diagonal/>
    </border>
    <border>
      <left style="thin"/>
      <right/>
      <top style="thin"/>
      <bottom style="medium"/>
      <diagonal/>
    </border>
    <border>
      <left style="medium"/>
      <right style="medium"/>
      <top style="medium"/>
      <bottom style="medium"/>
      <diagonal/>
    </border>
    <border>
      <left style="medium"/>
      <right style="thin"/>
      <top/>
      <bottom style="thin"/>
      <diagonal/>
    </border>
    <border>
      <left style="thin"/>
      <right style="thin"/>
      <top/>
      <bottom style="thin"/>
      <diagonal/>
    </border>
    <border>
      <left style="thin"/>
      <right style="medium"/>
      <top/>
      <bottom style="thin"/>
      <diagonal/>
    </border>
    <border>
      <left style="thin"/>
      <right/>
      <top style="thin"/>
      <bottom style="thin">
        <color rgb="FF808080"/>
      </bottom>
      <diagonal/>
    </border>
    <border>
      <left style="thin"/>
      <right/>
      <top style="thin"/>
      <bottom/>
      <diagonal/>
    </border>
    <border>
      <left style="thin"/>
      <right style="medium"/>
      <top style="thin"/>
      <bottom/>
      <diagonal/>
    </border>
    <border>
      <left style="thin"/>
      <right/>
      <top style="thin">
        <color rgb="FF808080"/>
      </top>
      <bottom style="thin">
        <color rgb="FF808080"/>
      </bottom>
      <diagonal/>
    </border>
    <border>
      <left style="thin"/>
      <right/>
      <top style="thin">
        <color rgb="FF969696"/>
      </top>
      <bottom style="thin">
        <color rgb="FF969696"/>
      </bottom>
      <diagonal/>
    </border>
    <border>
      <left style="thin"/>
      <right style="medium"/>
      <top style="thin">
        <color rgb="FF969696"/>
      </top>
      <bottom style="thin">
        <color rgb="FF969696"/>
      </bottom>
      <diagonal/>
    </border>
    <border>
      <left style="thin"/>
      <right/>
      <top style="thin">
        <color rgb="FF808080"/>
      </top>
      <bottom style="thin"/>
      <diagonal/>
    </border>
    <border>
      <left style="thin"/>
      <right style="thin"/>
      <top style="thin">
        <color rgb="FF969696"/>
      </top>
      <bottom style="thin">
        <color rgb="FF969696"/>
      </bottom>
      <diagonal/>
    </border>
    <border>
      <left style="thin"/>
      <right style="thin"/>
      <top/>
      <bottom/>
      <diagonal/>
    </border>
    <border>
      <left style="thin"/>
      <right style="medium"/>
      <top/>
      <bottom/>
      <diagonal/>
    </border>
    <border>
      <left style="thin"/>
      <right/>
      <top style="thin"/>
      <bottom style="thin">
        <color rgb="FF969696"/>
      </bottom>
      <diagonal/>
    </border>
    <border>
      <left style="thin"/>
      <right style="medium"/>
      <top style="thin"/>
      <bottom style="thin">
        <color rgb="FF808080"/>
      </bottom>
      <diagonal/>
    </border>
    <border>
      <left style="thin"/>
      <right style="medium"/>
      <top style="thin">
        <color rgb="FF808080"/>
      </top>
      <bottom style="thin"/>
      <diagonal/>
    </border>
    <border>
      <left style="thin"/>
      <right style="thin"/>
      <top style="thin"/>
      <bottom style="thin">
        <color rgb="FF969696"/>
      </bottom>
      <diagonal/>
    </border>
    <border>
      <left style="thin"/>
      <right style="thin"/>
      <top style="thin">
        <color rgb="FF808080"/>
      </top>
      <bottom style="thin">
        <color rgb="FF808080"/>
      </bottom>
      <diagonal/>
    </border>
    <border>
      <left style="thin"/>
      <right style="medium"/>
      <top/>
      <bottom style="thin">
        <color rgb="FF808080"/>
      </bottom>
      <diagonal/>
    </border>
    <border>
      <left style="thin"/>
      <right style="medium"/>
      <top style="thin"/>
      <bottom style="thin">
        <color rgb="FF969696"/>
      </bottom>
      <diagonal/>
    </border>
    <border>
      <left style="thin"/>
      <right/>
      <top/>
      <bottom/>
      <diagonal/>
    </border>
    <border>
      <left style="thin"/>
      <right style="thin"/>
      <top style="thin">
        <color rgb="FF808080"/>
      </top>
      <bottom style="thin"/>
      <diagonal/>
    </border>
    <border>
      <left style="medium"/>
      <right/>
      <top/>
      <bottom/>
      <diagonal/>
    </border>
    <border>
      <left/>
      <right/>
      <top style="thin"/>
      <bottom/>
      <diagonal/>
    </border>
    <border>
      <left/>
      <right style="medium"/>
      <top style="thin"/>
      <bottom/>
      <diagonal/>
    </border>
    <border>
      <left style="medium"/>
      <right style="medium"/>
      <top/>
      <bottom style="medium"/>
      <diagonal/>
    </border>
    <border>
      <left style="thin"/>
      <right/>
      <top style="medium"/>
      <bottom style="thin"/>
      <diagonal/>
    </border>
    <border>
      <left style="thin"/>
      <right style="thin"/>
      <top/>
      <bottom style="thin">
        <color rgb="FF808080"/>
      </bottom>
      <diagonal/>
    </border>
    <border>
      <left style="thin"/>
      <right/>
      <top style="thin">
        <color rgb="FF969696"/>
      </top>
      <bottom style="thin"/>
      <diagonal/>
    </border>
    <border>
      <left/>
      <right/>
      <top/>
      <bottom style="thin"/>
      <diagonal/>
    </border>
    <border>
      <left/>
      <right style="thin"/>
      <top style="thin"/>
      <bottom style="thin"/>
      <diagonal/>
    </border>
    <border>
      <left/>
      <right style="thin"/>
      <top style="thin"/>
      <bottom/>
      <diagonal/>
    </border>
    <border>
      <left style="thin"/>
      <right style="thin"/>
      <top style="thin"/>
      <bottom style="dotted"/>
      <diagonal/>
    </border>
    <border>
      <left style="thin"/>
      <right/>
      <top style="dotted"/>
      <bottom style="dotted"/>
      <diagonal/>
    </border>
    <border>
      <left/>
      <right style="thin"/>
      <top style="dotted"/>
      <bottom style="dotted"/>
      <diagonal/>
    </border>
    <border>
      <left style="thin"/>
      <right style="thin"/>
      <top style="dotted"/>
      <bottom style="dotted"/>
      <diagonal/>
    </border>
    <border>
      <left style="thin"/>
      <right/>
      <top/>
      <bottom style="thin"/>
      <diagonal/>
    </border>
    <border>
      <left/>
      <right style="thin"/>
      <top/>
      <bottom style="thin"/>
      <diagonal/>
    </border>
    <border>
      <left style="thin"/>
      <right style="thin"/>
      <top style="dotted"/>
      <bottom style="thin"/>
      <diagonal/>
    </border>
    <border>
      <left style="thin"/>
      <right/>
      <top style="dotted"/>
      <bottom style="thin"/>
      <diagonal/>
    </border>
    <border>
      <left/>
      <right style="thin"/>
      <top style="dotted"/>
      <bottom style="thin"/>
      <diagonal/>
    </border>
    <border>
      <left/>
      <right style="thin"/>
      <top/>
      <bottom/>
      <diagonal/>
    </border>
    <border>
      <left style="thin"/>
      <right style="thin"/>
      <top/>
      <bottom style="dotted"/>
      <diagonal/>
    </border>
    <border>
      <left style="thin"/>
      <right/>
      <top style="thin"/>
      <bottom style="dotted"/>
      <diagonal/>
    </border>
    <border>
      <left/>
      <right style="thin"/>
      <top style="thin"/>
      <bottom style="dotted"/>
      <diagonal/>
    </border>
    <border>
      <left style="thin"/>
      <right style="thin"/>
      <top style="thin">
        <color rgb="FF969696"/>
      </top>
      <bottom style="thin"/>
      <diagonal/>
    </border>
    <border diagonalDown="1">
      <left style="thin"/>
      <right style="thin"/>
      <top style="thin"/>
      <bottom style="thin"/>
      <diagonal style="thin"/>
    </border>
    <border>
      <left/>
      <right/>
      <top style="thin">
        <color rgb="FF969696"/>
      </top>
      <bottom style="thin">
        <color rgb="FF969696"/>
      </bottom>
      <diagonal/>
    </border>
    <border>
      <left/>
      <right/>
      <top style="thin">
        <color rgb="FF969696"/>
      </top>
      <bottom style="thin"/>
      <diagonal/>
    </border>
    <border>
      <left/>
      <right style="thin"/>
      <top style="thin"/>
      <bottom style="thin">
        <color rgb="FF808080"/>
      </bottom>
      <diagonal/>
    </border>
    <border>
      <left/>
      <right style="thin"/>
      <top style="thin">
        <color rgb="FF808080"/>
      </top>
      <bottom/>
      <diagonal/>
    </border>
    <border>
      <left/>
      <right style="thin"/>
      <top style="thin">
        <color rgb="FF808080"/>
      </top>
      <bottom style="thin"/>
      <diagonal/>
    </border>
    <border>
      <left/>
      <right/>
      <top style="thin"/>
      <bottom style="thin">
        <color rgb="FF808080"/>
      </bottom>
      <diagonal/>
    </border>
    <border>
      <left/>
      <right/>
      <top style="thin">
        <color rgb="FF808080"/>
      </top>
      <bottom style="thin">
        <color rgb="FF808080"/>
      </bottom>
      <diagonal/>
    </border>
    <border>
      <left/>
      <right/>
      <top style="thin">
        <color rgb="FF808080"/>
      </top>
      <bottom style="thin"/>
      <diagonal/>
    </border>
    <border>
      <left/>
      <right style="thin"/>
      <top style="thin"/>
      <bottom style="thin">
        <color rgb="FF969696"/>
      </bottom>
      <diagonal/>
    </border>
    <border>
      <left/>
      <right style="thin"/>
      <top/>
      <bottom style="thin">
        <color rgb="FF808080"/>
      </bottom>
      <diagonal/>
    </border>
    <border>
      <left/>
      <right style="thin"/>
      <top style="thin">
        <color rgb="FF808080"/>
      </top>
      <bottom style="thin">
        <color rgb="FF808080"/>
      </bottom>
      <diagonal/>
    </border>
    <border>
      <left style="thin"/>
      <right style="thin"/>
      <top style="thin"/>
      <bottom style="thin">
        <color rgb="FF808080"/>
      </bottom>
      <diagonal/>
    </border>
    <border>
      <left style="thin"/>
      <right style="thin"/>
      <top/>
      <bottom style="thin">
        <color rgb="FF969696"/>
      </bottom>
      <diagonal/>
    </border>
    <border>
      <left style="thin"/>
      <right style="thin"/>
      <top style="thin">
        <color rgb="FF969696"/>
      </top>
      <bottom style="thin">
        <color rgb="FF808080"/>
      </bottom>
      <diagonal/>
    </border>
    <border>
      <left style="thin"/>
      <right/>
      <top style="thin">
        <color rgb="FF808080"/>
      </top>
      <bottom/>
      <diagonal/>
    </border>
    <border>
      <left style="thin"/>
      <right style="thin"/>
      <top style="thin">
        <color rgb="FF808080"/>
      </top>
      <bottom style="thin">
        <color rgb="FF969696"/>
      </bottom>
      <diagonal/>
    </border>
    <border>
      <left style="medium"/>
      <right style="thin"/>
      <top style="medium"/>
      <bottom style="double"/>
      <diagonal/>
    </border>
    <border>
      <left style="thin"/>
      <right style="thin"/>
      <top style="medium"/>
      <bottom style="double"/>
      <diagonal/>
    </border>
    <border>
      <left style="thin"/>
      <right style="thin"/>
      <top style="thin"/>
      <bottom style="double"/>
      <diagonal/>
    </border>
    <border>
      <left style="thin"/>
      <right style="medium"/>
      <top style="thin"/>
      <bottom style="double"/>
      <diagonal/>
    </border>
    <border>
      <left style="double"/>
      <right style="thin"/>
      <top style="double"/>
      <bottom style="thin"/>
      <diagonal/>
    </border>
    <border>
      <left style="double"/>
      <right style="thin"/>
      <top/>
      <bottom style="thin"/>
      <diagonal/>
    </border>
    <border>
      <left style="double"/>
      <right style="thin"/>
      <top style="thin"/>
      <bottom style="thin"/>
      <diagonal/>
    </border>
    <border>
      <left style="double"/>
      <right style="thin"/>
      <top/>
      <bottom/>
      <diagonal/>
    </border>
    <border>
      <left style="medium"/>
      <right style="thin"/>
      <top style="thin"/>
      <bottom style="double"/>
      <diagonal/>
    </border>
    <border>
      <left style="thin"/>
      <right/>
      <top style="thin"/>
      <bottom style="double"/>
      <diagonal/>
    </border>
    <border>
      <left style="double"/>
      <right style="thin"/>
      <top style="thin"/>
      <bottom style="double"/>
      <diagonal/>
    </border>
    <border>
      <left style="thin"/>
      <right style="medium"/>
      <top/>
      <bottom style="double"/>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style="medium"/>
      <right/>
      <top style="medium"/>
      <bottom style="double"/>
      <diagonal/>
    </border>
    <border>
      <left/>
      <right style="thin"/>
      <top style="medium"/>
      <bottom style="double"/>
      <diagonal/>
    </border>
    <border>
      <left style="thin"/>
      <right/>
      <top style="medium"/>
      <bottom/>
      <diagonal/>
    </border>
    <border>
      <left style="double"/>
      <right style="double"/>
      <top style="medium"/>
      <bottom/>
      <diagonal/>
    </border>
    <border>
      <left style="double"/>
      <right/>
      <top style="medium"/>
      <bottom/>
      <diagonal/>
    </border>
    <border>
      <left style="double"/>
      <right style="medium"/>
      <top style="medium"/>
      <bottom/>
      <diagonal/>
    </border>
    <border>
      <left style="double"/>
      <right style="double"/>
      <top/>
      <bottom/>
      <diagonal/>
    </border>
    <border>
      <left style="double"/>
      <right/>
      <top/>
      <bottom/>
      <diagonal/>
    </border>
    <border>
      <left style="double"/>
      <right style="medium"/>
      <top/>
      <bottom/>
      <diagonal/>
    </border>
    <border>
      <left style="double"/>
      <right style="double"/>
      <top/>
      <bottom style="thin"/>
      <diagonal/>
    </border>
    <border>
      <left style="double"/>
      <right/>
      <top/>
      <bottom style="thin"/>
      <diagonal/>
    </border>
    <border>
      <left style="double"/>
      <right style="medium"/>
      <top/>
      <bottom style="thin"/>
      <diagonal/>
    </border>
    <border>
      <left style="thin"/>
      <right style="double"/>
      <top style="thin"/>
      <bottom style="double"/>
      <diagonal/>
    </border>
    <border>
      <left style="double"/>
      <right style="double"/>
      <top style="thin"/>
      <bottom/>
      <diagonal/>
    </border>
    <border>
      <left style="double"/>
      <right style="thin"/>
      <top style="thin"/>
      <bottom/>
      <diagonal/>
    </border>
    <border>
      <left style="double"/>
      <right style="medium"/>
      <top style="thin"/>
      <bottom style="double"/>
      <diagonal/>
    </border>
    <border>
      <left style="thin"/>
      <right style="thin"/>
      <top/>
      <bottom style="double"/>
      <diagonal/>
    </border>
    <border>
      <left style="thin"/>
      <right/>
      <top/>
      <bottom style="double"/>
      <diagonal/>
    </border>
    <border>
      <left style="double"/>
      <right style="double"/>
      <top/>
      <bottom style="double"/>
      <diagonal/>
    </border>
    <border>
      <left style="double"/>
      <right style="thin"/>
      <top/>
      <bottom style="double"/>
      <diagonal/>
    </border>
    <border>
      <left style="double"/>
      <right style="thin"/>
      <top style="double"/>
      <bottom/>
      <diagonal/>
    </border>
    <border>
      <left style="thin"/>
      <right/>
      <top style="thin">
        <color rgb="FF969696"/>
      </top>
      <bottom/>
      <diagonal/>
    </border>
    <border>
      <left style="thin"/>
      <right style="double"/>
      <top style="double"/>
      <bottom style="thin"/>
      <diagonal/>
    </border>
    <border>
      <left/>
      <right/>
      <top style="thin"/>
      <bottom style="thin">
        <color rgb="FF969696"/>
      </bottom>
      <diagonal/>
    </border>
    <border>
      <left style="thin"/>
      <right style="double"/>
      <top/>
      <bottom style="thin"/>
      <diagonal/>
    </border>
    <border>
      <left style="thin"/>
      <right style="double"/>
      <top style="thin"/>
      <bottom style="thin"/>
      <diagonal/>
    </border>
    <border>
      <left style="double"/>
      <right style="medium"/>
      <top style="thin"/>
      <bottom style="thin"/>
      <diagonal/>
    </border>
    <border>
      <left style="double"/>
      <right style="double"/>
      <top style="thin"/>
      <bottom style="thin"/>
      <diagonal/>
    </border>
    <border>
      <left style="double"/>
      <right style="thin"/>
      <top style="thin"/>
      <bottom style="thin">
        <color rgb="FF969696"/>
      </bottom>
      <diagonal/>
    </border>
    <border>
      <left/>
      <right/>
      <top style="thin"/>
      <bottom style="thin"/>
      <diagonal/>
    </border>
    <border>
      <left style="double"/>
      <right style="medium"/>
      <top style="thin"/>
      <bottom/>
      <diagonal/>
    </border>
    <border>
      <left style="thin"/>
      <right style="double"/>
      <top style="thin"/>
      <bottom/>
      <diagonal/>
    </border>
    <border>
      <left/>
      <right style="thin"/>
      <top style="thin"/>
      <bottom style="double"/>
      <diagonal/>
    </border>
    <border>
      <left style="thin"/>
      <right style="double"/>
      <top style="thin"/>
      <bottom style="medium"/>
      <diagonal/>
    </border>
    <border>
      <left style="double"/>
      <right style="thin"/>
      <top style="thin"/>
      <bottom style="medium"/>
      <diagonal/>
    </border>
    <border>
      <left style="double"/>
      <right style="double"/>
      <top style="thin"/>
      <bottom style="medium"/>
      <diagonal/>
    </border>
    <border>
      <left style="double"/>
      <right style="medium"/>
      <top style="thin"/>
      <bottom style="medium"/>
      <diagonal/>
    </border>
    <border>
      <left/>
      <right/>
      <top style="medium"/>
      <bottom style="double"/>
      <diagonal/>
    </border>
    <border>
      <left/>
      <right style="medium"/>
      <top style="thin"/>
      <bottom style="thin"/>
      <diagonal/>
    </border>
    <border>
      <left/>
      <right style="medium"/>
      <top style="thin"/>
      <bottom style="double"/>
      <diagonal/>
    </border>
    <border>
      <left style="medium"/>
      <right/>
      <top/>
      <bottom style="thin"/>
      <diagonal/>
    </border>
    <border>
      <left style="medium"/>
      <right/>
      <top style="thin"/>
      <bottom style="thin"/>
      <diagonal/>
    </border>
    <border>
      <left style="medium"/>
      <right/>
      <top style="thin"/>
      <bottom style="medium"/>
      <diagonal/>
    </border>
    <border>
      <left/>
      <right/>
      <top style="medium"/>
      <bottom/>
      <diagonal/>
    </border>
    <border>
      <left/>
      <right style="thin"/>
      <top style="medium"/>
      <bottom/>
      <diagonal/>
    </border>
    <border>
      <left/>
      <right/>
      <top style="medium"/>
      <bottom style="thin"/>
      <diagonal/>
    </border>
    <border>
      <left/>
      <right style="thin"/>
      <top style="medium"/>
      <bottom style="thin"/>
      <diagonal/>
    </border>
    <border>
      <left/>
      <right style="medium"/>
      <top style="medium"/>
      <bottom/>
      <diagonal/>
    </border>
    <border>
      <left/>
      <right style="medium"/>
      <top style="medium"/>
      <bottom style="thin"/>
      <diagonal/>
    </border>
    <border>
      <left/>
      <right/>
      <top style="medium"/>
      <bottom style="medium"/>
      <diagonal/>
    </border>
    <border>
      <left/>
      <right style="medium"/>
      <top style="medium"/>
      <bottom style="medium"/>
      <diagonal/>
    </border>
    <border>
      <left/>
      <right style="medium"/>
      <top/>
      <bottom/>
      <diagonal/>
    </border>
    <border>
      <left/>
      <right style="medium"/>
      <top/>
      <bottom style="thin"/>
      <diagonal/>
    </border>
    <border>
      <left/>
      <right/>
      <top style="thin">
        <color rgb="FF969696"/>
      </top>
      <bottom/>
      <diagonal/>
    </border>
    <border>
      <left/>
      <right style="medium"/>
      <top style="thin">
        <color rgb="FF969696"/>
      </top>
      <bottom/>
      <diagonal/>
    </border>
    <border>
      <left/>
      <right style="medium"/>
      <top style="thin">
        <color rgb="FF969696"/>
      </top>
      <bottom style="thin">
        <color rgb="FF969696"/>
      </bottom>
      <diagonal/>
    </border>
    <border>
      <left/>
      <right style="medium"/>
      <top style="thin"/>
      <bottom style="thin">
        <color rgb="FF808080"/>
      </bottom>
      <diagonal/>
    </border>
    <border>
      <left/>
      <right/>
      <top style="thin">
        <color rgb="FF808080"/>
      </top>
      <bottom/>
      <diagonal/>
    </border>
    <border>
      <left/>
      <right style="medium"/>
      <top style="thin">
        <color rgb="FF808080"/>
      </top>
      <bottom/>
      <diagonal/>
    </border>
    <border>
      <left/>
      <right style="medium"/>
      <top style="thin">
        <color rgb="FF808080"/>
      </top>
      <bottom style="thin"/>
      <diagonal/>
    </border>
    <border>
      <left/>
      <right/>
      <top/>
      <bottom style="thin">
        <color rgb="FF808080"/>
      </bottom>
      <diagonal/>
    </border>
    <border>
      <left/>
      <right style="medium"/>
      <top/>
      <bottom style="thin">
        <color rgb="FF808080"/>
      </bottom>
      <diagonal/>
    </border>
    <border>
      <left/>
      <right style="medium"/>
      <top style="thin"/>
      <bottom style="thin">
        <color rgb="FF969696"/>
      </bottom>
      <diagonal/>
    </border>
    <border>
      <left style="medium"/>
      <right/>
      <top/>
      <bottom style="medium"/>
      <diagonal/>
    </border>
    <border>
      <left/>
      <right style="medium"/>
      <top/>
      <bottom style="medium"/>
      <diagonal/>
    </border>
    <border>
      <left/>
      <right/>
      <top style="dotted"/>
      <bottom/>
      <diagonal/>
    </border>
    <border>
      <left/>
      <right style="thin"/>
      <top style="dotted"/>
      <bottom/>
      <diagonal/>
    </border>
    <border>
      <left/>
      <right style="thin"/>
      <top/>
      <bottom style="dotted"/>
      <diagonal/>
    </border>
    <border>
      <left style="medium"/>
      <right style="thin"/>
      <top/>
      <bottom/>
      <diagonal/>
    </border>
    <border>
      <left style="medium"/>
      <right style="thin"/>
      <top/>
      <bottom style="double"/>
      <diagonal/>
    </border>
    <border>
      <left/>
      <right style="thin"/>
      <top style="thin"/>
      <bottom style="medium"/>
      <diagonal/>
    </border>
    <border>
      <left style="medium"/>
      <right/>
      <top/>
      <bottom style="double"/>
      <diagonal/>
    </border>
    <border>
      <left/>
      <right style="thin"/>
      <top/>
      <bottom style="double"/>
      <diagonal/>
    </border>
    <border>
      <left/>
      <right style="double"/>
      <top style="medium"/>
      <bottom/>
      <diagonal/>
    </border>
    <border>
      <left/>
      <right style="double"/>
      <top/>
      <bottom/>
      <diagonal/>
    </border>
    <border>
      <left/>
      <right style="double"/>
      <top/>
      <bottom style="thin"/>
      <diagonal/>
    </border>
    <border>
      <left style="thin"/>
      <right style="double"/>
      <top/>
      <bottom/>
      <diagonal/>
    </border>
    <border>
      <left style="thin"/>
      <right style="double"/>
      <top/>
      <bottom style="double"/>
      <diagonal/>
    </border>
    <border>
      <left style="double"/>
      <right style="medium"/>
      <top/>
      <bottom style="double"/>
      <diagonal/>
    </border>
    <border>
      <left/>
      <right/>
      <top/>
      <bottom style="double"/>
      <diagonal/>
    </border>
    <border>
      <left/>
      <right/>
      <top style="thin"/>
      <bottom style="mediu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8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general" vertical="center"/>
    </xf>
    <xf numFmtId="0" fontId="6" fillId="2" borderId="0" applyAlignment="1" pivotButton="0" quotePrefix="0" xfId="0">
      <alignment horizontal="general" vertical="bottom"/>
    </xf>
    <xf numFmtId="0" fontId="4" fillId="0" borderId="2" applyAlignment="1" pivotButton="0" quotePrefix="0" xfId="0">
      <alignment horizontal="general" vertical="bottom"/>
    </xf>
    <xf numFmtId="164" fontId="4" fillId="0" borderId="3" applyAlignment="1" pivotButton="0" quotePrefix="0" xfId="0">
      <alignment horizontal="center" vertical="bottom" shrinkToFit="1"/>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4" fillId="0" borderId="6" applyAlignment="1" pivotButton="0" quotePrefix="0" xfId="0">
      <alignment horizontal="center" vertical="bottom" shrinkToFit="1"/>
    </xf>
    <xf numFmtId="165" fontId="4" fillId="0" borderId="7" applyAlignment="1" pivotButton="0" quotePrefix="0" xfId="0">
      <alignment horizontal="general" vertical="bottom"/>
    </xf>
    <xf numFmtId="166" fontId="4" fillId="0" borderId="8" applyAlignment="1" pivotButton="0" quotePrefix="0" xfId="0">
      <alignment horizontal="general" vertical="bottom"/>
    </xf>
    <xf numFmtId="165" fontId="4" fillId="2" borderId="0" applyAlignment="1" pivotButton="0" quotePrefix="0" xfId="0">
      <alignment horizontal="general" vertical="bottom"/>
    </xf>
    <xf numFmtId="167" fontId="4" fillId="0" borderId="8" applyAlignment="1" pivotButton="0" quotePrefix="0" xfId="0">
      <alignment horizontal="general" vertical="bottom"/>
    </xf>
    <xf numFmtId="165" fontId="4" fillId="0" borderId="7" applyAlignment="1" pivotButton="0" quotePrefix="0" xfId="0">
      <alignment horizontal="right" vertical="bottom"/>
    </xf>
    <xf numFmtId="0" fontId="6" fillId="0" borderId="6" applyAlignment="1" pivotButton="0" quotePrefix="0" xfId="0">
      <alignment horizontal="center" vertical="bottom" shrinkToFit="1"/>
    </xf>
    <xf numFmtId="168" fontId="4" fillId="0" borderId="7" applyAlignment="1" pivotButton="0" quotePrefix="0" xfId="0">
      <alignment horizontal="general" vertical="bottom"/>
    </xf>
    <xf numFmtId="169" fontId="4" fillId="0" borderId="7" applyAlignment="1" pivotButton="0" quotePrefix="0" xfId="0">
      <alignment horizontal="general" vertical="bottom"/>
    </xf>
    <xf numFmtId="0" fontId="6" fillId="0" borderId="9" applyAlignment="1" pivotButton="0" quotePrefix="0" xfId="0">
      <alignment horizontal="general" vertical="bottom"/>
    </xf>
    <xf numFmtId="0" fontId="6" fillId="0" borderId="10" applyAlignment="1" pivotButton="0" quotePrefix="0" xfId="0">
      <alignment horizontal="center" vertical="bottom" shrinkToFit="1"/>
    </xf>
    <xf numFmtId="168" fontId="4" fillId="0" borderId="11" applyAlignment="1" pivotButton="0" quotePrefix="0" xfId="0">
      <alignment horizontal="general" vertical="bottom"/>
    </xf>
    <xf numFmtId="0" fontId="8" fillId="2" borderId="12" applyAlignment="1" pivotButton="0" quotePrefix="0" xfId="0">
      <alignment horizontal="center" vertical="center"/>
    </xf>
    <xf numFmtId="0" fontId="6" fillId="0" borderId="13" applyAlignment="1" pivotButton="0" quotePrefix="0" xfId="0">
      <alignment horizontal="center" vertical="center"/>
    </xf>
    <xf numFmtId="0" fontId="6" fillId="0" borderId="14" applyAlignment="1" pivotButton="0" quotePrefix="0" xfId="0">
      <alignment horizontal="center" vertical="center"/>
    </xf>
    <xf numFmtId="164" fontId="4" fillId="0" borderId="14" applyAlignment="1" pivotButton="0" quotePrefix="0" xfId="0">
      <alignment horizontal="center" vertical="center" shrinkToFit="1"/>
    </xf>
    <xf numFmtId="0" fontId="6" fillId="0" borderId="15"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0" applyAlignment="1" pivotButton="0" quotePrefix="0" xfId="0">
      <alignment horizontal="general" vertical="bottom"/>
    </xf>
    <xf numFmtId="0" fontId="6" fillId="0" borderId="5" applyAlignment="1" pivotButton="0" quotePrefix="0" xfId="0">
      <alignment horizontal="general" vertical="center"/>
    </xf>
    <xf numFmtId="0" fontId="4" fillId="0" borderId="6" applyAlignment="1" pivotButton="0" quotePrefix="0" xfId="0">
      <alignment horizontal="center" vertical="center"/>
    </xf>
    <xf numFmtId="0" fontId="6" fillId="0" borderId="16" applyAlignment="1" pivotButton="0" quotePrefix="0" xfId="0">
      <alignment horizontal="general" vertical="bottom"/>
    </xf>
    <xf numFmtId="169" fontId="4" fillId="0" borderId="17" applyAlignment="1" pivotButton="0" quotePrefix="0" xfId="0">
      <alignment horizontal="center" vertical="center"/>
    </xf>
    <xf numFmtId="169" fontId="4" fillId="0" borderId="18" applyAlignment="1" pivotButton="0" quotePrefix="0" xfId="0">
      <alignment horizontal="center" vertical="center"/>
    </xf>
    <xf numFmtId="0" fontId="9" fillId="2" borderId="0" applyAlignment="1" pivotButton="0" quotePrefix="0" xfId="0">
      <alignment horizontal="center" vertical="center"/>
    </xf>
    <xf numFmtId="0" fontId="6" fillId="0" borderId="19" applyAlignment="1" pivotButton="0" quotePrefix="0" xfId="0">
      <alignment horizontal="general" vertical="bottom"/>
    </xf>
    <xf numFmtId="169" fontId="4" fillId="0" borderId="20" applyAlignment="1" pivotButton="0" quotePrefix="0" xfId="0">
      <alignment horizontal="center" vertical="center"/>
    </xf>
    <xf numFmtId="169" fontId="4" fillId="0" borderId="21" applyAlignment="1" pivotButton="0" quotePrefix="0" xfId="0">
      <alignment horizontal="center" vertical="center"/>
    </xf>
    <xf numFmtId="0" fontId="4" fillId="2" borderId="0" applyAlignment="1" pivotButton="0" quotePrefix="0" xfId="0">
      <alignment horizontal="center" vertical="center"/>
    </xf>
    <xf numFmtId="0" fontId="6" fillId="0" borderId="0" applyAlignment="1" pivotButton="0" quotePrefix="0" xfId="0">
      <alignment horizontal="general" vertical="center" wrapText="1"/>
    </xf>
    <xf numFmtId="0" fontId="6" fillId="0" borderId="22" applyAlignment="1" pivotButton="0" quotePrefix="0" xfId="0">
      <alignment horizontal="general" vertical="bottom"/>
    </xf>
    <xf numFmtId="169" fontId="4" fillId="0" borderId="14" applyAlignment="1" pivotButton="0" quotePrefix="0" xfId="0">
      <alignment horizontal="center" vertical="center"/>
    </xf>
    <xf numFmtId="169" fontId="4" fillId="0" borderId="15" applyAlignment="1" pivotButton="0" quotePrefix="0" xfId="0">
      <alignment horizontal="center" vertical="center"/>
    </xf>
    <xf numFmtId="0" fontId="6" fillId="0" borderId="6" applyAlignment="1" pivotButton="0" quotePrefix="0" xfId="0">
      <alignment horizontal="center" vertical="center" wrapText="1"/>
    </xf>
    <xf numFmtId="0" fontId="6" fillId="0" borderId="10" applyAlignment="1" pivotButton="0" quotePrefix="0" xfId="0">
      <alignment horizontal="center" vertical="center"/>
    </xf>
    <xf numFmtId="0" fontId="4" fillId="0" borderId="18" applyAlignment="1" pivotButton="0" quotePrefix="0" xfId="0">
      <alignment horizontal="center" vertical="center"/>
    </xf>
    <xf numFmtId="0" fontId="6" fillId="0" borderId="23" applyAlignment="1" pivotButton="0" quotePrefix="0" xfId="0">
      <alignment horizontal="center" vertical="center"/>
    </xf>
    <xf numFmtId="0" fontId="4" fillId="0" borderId="21" applyAlignment="1" pivotButton="0" quotePrefix="0" xfId="0">
      <alignment horizontal="center" vertical="center"/>
    </xf>
    <xf numFmtId="0" fontId="6" fillId="0" borderId="24" applyAlignment="1" pivotButton="0" quotePrefix="0" xfId="0">
      <alignment horizontal="center" vertical="center"/>
    </xf>
    <xf numFmtId="0" fontId="4" fillId="0" borderId="25" applyAlignment="1" pivotButton="0" quotePrefix="0" xfId="0">
      <alignment horizontal="center" vertical="center"/>
    </xf>
    <xf numFmtId="169" fontId="4" fillId="0" borderId="26" applyAlignment="1" pivotButton="0" quotePrefix="0" xfId="0">
      <alignment horizontal="center" vertical="center"/>
    </xf>
    <xf numFmtId="169" fontId="4" fillId="0" borderId="27" applyAlignment="1" pivotButton="0" quotePrefix="0" xfId="0">
      <alignment horizontal="center" vertical="center"/>
    </xf>
    <xf numFmtId="168" fontId="4" fillId="0" borderId="14" applyAlignment="1" pivotButton="0" quotePrefix="0" xfId="0">
      <alignment horizontal="center" vertical="center"/>
    </xf>
    <xf numFmtId="168" fontId="4" fillId="0" borderId="28" applyAlignment="1" pivotButton="0" quotePrefix="0" xfId="0">
      <alignment horizontal="center" vertical="center"/>
    </xf>
    <xf numFmtId="0" fontId="6" fillId="0" borderId="0" applyAlignment="1" pivotButton="0" quotePrefix="0" xfId="0">
      <alignment horizontal="right" vertical="top" textRotation="255"/>
    </xf>
    <xf numFmtId="0" fontId="6" fillId="0" borderId="6" applyAlignment="1" pivotButton="0" quotePrefix="0" xfId="0">
      <alignment horizontal="general" vertical="center"/>
    </xf>
    <xf numFmtId="0" fontId="6" fillId="0" borderId="29" applyAlignment="1" pivotButton="0" quotePrefix="0" xfId="0">
      <alignment horizontal="center" vertical="center"/>
    </xf>
    <xf numFmtId="0" fontId="4" fillId="0" borderId="0" applyAlignment="1" pivotButton="0" quotePrefix="0" xfId="0">
      <alignment horizontal="general" vertical="center"/>
    </xf>
    <xf numFmtId="0" fontId="0" fillId="0" borderId="0" applyAlignment="1" pivotButton="0" quotePrefix="0" xfId="0">
      <alignment horizontal="general" vertical="bottom"/>
    </xf>
    <xf numFmtId="0" fontId="6" fillId="0" borderId="30" applyAlignment="1" pivotButton="0" quotePrefix="0" xfId="0">
      <alignment horizontal="center" vertical="center"/>
    </xf>
    <xf numFmtId="0" fontId="4" fillId="0" borderId="31" applyAlignment="1" pivotButton="0" quotePrefix="0" xfId="0">
      <alignment horizontal="center" vertical="center"/>
    </xf>
    <xf numFmtId="0" fontId="4" fillId="0" borderId="5" applyAlignment="1" pivotButton="0" quotePrefix="0" xfId="0">
      <alignment horizontal="general" vertical="center"/>
    </xf>
    <xf numFmtId="170" fontId="4" fillId="0" borderId="10" applyAlignment="1" pivotButton="0" quotePrefix="0" xfId="0">
      <alignment horizontal="center" vertical="center"/>
    </xf>
    <xf numFmtId="170" fontId="4" fillId="0" borderId="32" applyAlignment="1" pivotButton="0" quotePrefix="0" xfId="0">
      <alignment horizontal="center" vertical="center"/>
    </xf>
    <xf numFmtId="170" fontId="4" fillId="0" borderId="30" applyAlignment="1" pivotButton="0" quotePrefix="0" xfId="0">
      <alignment horizontal="center" vertical="center"/>
    </xf>
    <xf numFmtId="170" fontId="4" fillId="0" borderId="31" applyAlignment="1" pivotButton="0" quotePrefix="0" xfId="0">
      <alignment horizontal="center" vertical="center"/>
    </xf>
    <xf numFmtId="170" fontId="4" fillId="0" borderId="14" applyAlignment="1" pivotButton="0" quotePrefix="0" xfId="0">
      <alignment horizontal="center" vertical="center"/>
    </xf>
    <xf numFmtId="170" fontId="4" fillId="0" borderId="28" applyAlignment="1" pivotButton="0" quotePrefix="0" xfId="0">
      <alignment horizontal="center" vertical="center"/>
    </xf>
    <xf numFmtId="0" fontId="6" fillId="0" borderId="0" applyAlignment="1" pivotButton="0" quotePrefix="0" xfId="0">
      <alignment horizontal="general" vertical="center"/>
    </xf>
    <xf numFmtId="0" fontId="4" fillId="0" borderId="5" applyAlignment="1" pivotButton="0" quotePrefix="0" xfId="0">
      <alignment horizontal="general" vertical="center" wrapText="1"/>
    </xf>
    <xf numFmtId="0" fontId="4" fillId="0" borderId="6" applyAlignment="1" pivotButton="0" quotePrefix="0" xfId="0">
      <alignment horizontal="center" vertical="bottom"/>
    </xf>
    <xf numFmtId="0" fontId="6" fillId="0" borderId="7" applyAlignment="1" pivotButton="0" quotePrefix="0" xfId="0">
      <alignment horizontal="general" vertical="center"/>
    </xf>
    <xf numFmtId="0" fontId="4" fillId="0" borderId="16" applyAlignment="1" pivotButton="0" quotePrefix="0" xfId="0">
      <alignment horizontal="left" vertical="center"/>
    </xf>
    <xf numFmtId="168" fontId="4" fillId="0" borderId="18" applyAlignment="1" pivotButton="0" quotePrefix="0" xfId="0">
      <alignment horizontal="center" vertical="center"/>
    </xf>
    <xf numFmtId="0" fontId="4" fillId="0" borderId="33" applyAlignment="1" pivotButton="0" quotePrefix="0" xfId="0">
      <alignment horizontal="center" vertical="center"/>
    </xf>
    <xf numFmtId="0" fontId="6" fillId="0" borderId="0" applyAlignment="1" pivotButton="0" quotePrefix="0" xfId="0">
      <alignment horizontal="general" vertical="bottom"/>
    </xf>
    <xf numFmtId="0" fontId="4" fillId="0" borderId="19" applyAlignment="1" pivotButton="0" quotePrefix="0" xfId="0">
      <alignment horizontal="right" vertical="center"/>
    </xf>
    <xf numFmtId="0" fontId="4" fillId="0" borderId="34" applyAlignment="1" pivotButton="0" quotePrefix="0" xfId="0">
      <alignment horizontal="center" vertical="center"/>
    </xf>
    <xf numFmtId="169" fontId="4" fillId="0" borderId="31" applyAlignment="1" pivotButton="0" quotePrefix="0" xfId="0">
      <alignment horizontal="center" vertical="center"/>
    </xf>
    <xf numFmtId="0" fontId="6" fillId="0" borderId="7" applyAlignment="1" pivotButton="0" quotePrefix="0" xfId="0">
      <alignment horizontal="general" vertical="bottom"/>
    </xf>
    <xf numFmtId="171" fontId="4" fillId="0" borderId="7" applyAlignment="1" pivotButton="0" quotePrefix="0" xfId="0">
      <alignment horizontal="center" vertical="center"/>
    </xf>
    <xf numFmtId="0" fontId="6" fillId="0" borderId="7" applyAlignment="1" pivotButton="0" quotePrefix="0" xfId="0">
      <alignment horizontal="left" vertical="center"/>
    </xf>
    <xf numFmtId="168" fontId="4" fillId="0" borderId="7" applyAlignment="1" pivotButton="0" quotePrefix="0" xfId="0">
      <alignment horizontal="center" vertical="center"/>
    </xf>
    <xf numFmtId="168" fontId="4" fillId="0" borderId="27" applyAlignment="1" pivotButton="0" quotePrefix="0" xfId="0">
      <alignment horizontal="center" vertical="center"/>
    </xf>
    <xf numFmtId="169" fontId="4" fillId="0" borderId="10" applyAlignment="1" pivotButton="0" quotePrefix="0" xfId="0">
      <alignment horizontal="center" vertical="center"/>
    </xf>
    <xf numFmtId="0" fontId="4" fillId="0" borderId="10" applyAlignment="1" pivotButton="0" quotePrefix="0" xfId="0">
      <alignment horizontal="center" vertical="bottom"/>
    </xf>
    <xf numFmtId="0" fontId="6" fillId="0" borderId="10" applyAlignment="1" pivotButton="0" quotePrefix="0" xfId="0">
      <alignment horizontal="general" vertical="bottom"/>
    </xf>
    <xf numFmtId="171" fontId="4" fillId="0" borderId="6" applyAlignment="1" pivotButton="0" quotePrefix="0" xfId="0">
      <alignment horizontal="center" vertical="center"/>
    </xf>
    <xf numFmtId="171" fontId="4" fillId="0" borderId="8" applyAlignment="1" pivotButton="0" quotePrefix="0" xfId="0">
      <alignment horizontal="center" vertical="center"/>
    </xf>
    <xf numFmtId="0" fontId="6" fillId="0" borderId="35" applyAlignment="1" pivotButton="0" quotePrefix="0" xfId="0">
      <alignment horizontal="general" vertical="bottom"/>
    </xf>
    <xf numFmtId="0" fontId="4" fillId="0" borderId="36" applyAlignment="1" pivotButton="0" quotePrefix="0" xfId="0">
      <alignment horizontal="center" vertical="bottom"/>
    </xf>
    <xf numFmtId="0" fontId="4" fillId="0" borderId="36" applyAlignment="1" pivotButton="0" quotePrefix="0" xfId="0">
      <alignment horizontal="general" vertical="bottom"/>
    </xf>
    <xf numFmtId="0" fontId="4" fillId="0" borderId="36" applyAlignment="1" pivotButton="0" quotePrefix="0" xfId="0">
      <alignment horizontal="center" vertical="center"/>
    </xf>
    <xf numFmtId="172" fontId="4" fillId="0" borderId="36" applyAlignment="1" pivotButton="0" quotePrefix="0" xfId="0">
      <alignment horizontal="center" vertical="center"/>
    </xf>
    <xf numFmtId="0" fontId="4" fillId="0" borderId="37" applyAlignment="1" pivotButton="0" quotePrefix="0" xfId="0">
      <alignment horizontal="general" vertical="bottom"/>
    </xf>
    <xf numFmtId="0" fontId="4" fillId="0" borderId="38" applyAlignment="1" pivotButton="0" quotePrefix="0" xfId="0">
      <alignment horizontal="general" vertical="bottom"/>
    </xf>
    <xf numFmtId="164" fontId="4" fillId="0" borderId="39" applyAlignment="1" pivotButton="0" quotePrefix="0" xfId="0">
      <alignment horizontal="center" vertical="bottom" shrinkToFit="1"/>
    </xf>
    <xf numFmtId="170" fontId="4" fillId="0" borderId="8" applyAlignment="1" pivotButton="0" quotePrefix="0" xfId="0">
      <alignment horizontal="general" vertical="bottom"/>
    </xf>
    <xf numFmtId="165" fontId="4" fillId="0" borderId="6" applyAlignment="1" pivotButton="0" quotePrefix="0" xfId="0">
      <alignment horizontal="general" vertical="bottom"/>
    </xf>
    <xf numFmtId="165" fontId="4" fillId="0" borderId="0" applyAlignment="1" pivotButton="0" quotePrefix="0" xfId="0">
      <alignment horizontal="right" vertical="bottom"/>
    </xf>
    <xf numFmtId="168" fontId="4" fillId="0" borderId="7" applyAlignment="1" pivotButton="0" quotePrefix="0" xfId="0">
      <alignment horizontal="right" vertical="bottom"/>
    </xf>
    <xf numFmtId="168" fontId="4" fillId="0" borderId="11" applyAlignment="1" pivotButton="0" quotePrefix="0" xfId="0">
      <alignment horizontal="right" vertical="bottom"/>
    </xf>
    <xf numFmtId="169" fontId="4" fillId="0" borderId="23" applyAlignment="1" pivotButton="0" quotePrefix="0" xfId="0">
      <alignment horizontal="center" vertical="center"/>
    </xf>
    <xf numFmtId="169" fontId="4" fillId="0" borderId="40" applyAlignment="1" pivotButton="0" quotePrefix="0" xfId="0">
      <alignment horizontal="center" vertical="center"/>
    </xf>
    <xf numFmtId="170" fontId="4" fillId="0" borderId="29" applyAlignment="1" pivotButton="0" quotePrefix="0" xfId="0">
      <alignment horizontal="center" vertical="center"/>
    </xf>
    <xf numFmtId="170" fontId="4" fillId="0" borderId="24" applyAlignment="1" pivotButton="0" quotePrefix="0" xfId="0">
      <alignment horizontal="center" vertical="center"/>
    </xf>
    <xf numFmtId="0" fontId="4" fillId="0" borderId="22" applyAlignment="1" pivotButton="0" quotePrefix="0" xfId="0">
      <alignment horizontal="center" vertical="center"/>
    </xf>
    <xf numFmtId="172" fontId="4" fillId="0" borderId="8" applyAlignment="1" pivotButton="0" quotePrefix="0" xfId="0">
      <alignment horizontal="center" vertical="center"/>
    </xf>
    <xf numFmtId="171" fontId="4" fillId="0" borderId="36" applyAlignment="1" pivotButton="0" quotePrefix="0" xfId="0">
      <alignment horizontal="center" vertical="center"/>
    </xf>
    <xf numFmtId="165" fontId="4" fillId="0" borderId="6" applyAlignment="1" pivotButton="0" quotePrefix="0" xfId="0">
      <alignment horizontal="right" vertical="bottom"/>
    </xf>
    <xf numFmtId="173" fontId="4" fillId="0" borderId="8" applyAlignment="1" pivotButton="0" quotePrefix="0" xfId="0">
      <alignment horizontal="general" vertical="bottom"/>
    </xf>
    <xf numFmtId="169" fontId="4" fillId="0" borderId="7" applyAlignment="1" pivotButton="0" quotePrefix="0" xfId="0">
      <alignment horizontal="right" vertical="bottom"/>
    </xf>
    <xf numFmtId="174" fontId="4" fillId="0" borderId="0" applyAlignment="1" pivotButton="0" quotePrefix="0" xfId="0">
      <alignment horizontal="general" vertical="bottom"/>
    </xf>
    <xf numFmtId="0" fontId="4" fillId="2" borderId="0" applyAlignment="1" pivotButton="0" quotePrefix="0" xfId="0">
      <alignment horizontal="general" vertical="bottom"/>
    </xf>
    <xf numFmtId="169" fontId="4" fillId="0" borderId="41" applyAlignment="1" pivotButton="0" quotePrefix="0" xfId="0">
      <alignment horizontal="center" vertical="center"/>
    </xf>
    <xf numFmtId="165" fontId="4" fillId="0" borderId="0" applyAlignment="1" pivotButton="0" quotePrefix="0" xfId="0">
      <alignment horizontal="general" vertical="bottom"/>
    </xf>
    <xf numFmtId="0" fontId="6" fillId="0" borderId="6" applyAlignment="1" pivotButton="0" quotePrefix="0" xfId="0">
      <alignment horizontal="center" vertical="center" shrinkToFit="1"/>
    </xf>
    <xf numFmtId="175" fontId="4" fillId="0" borderId="8" applyAlignment="1" pivotButton="0" quotePrefix="0" xfId="0">
      <alignment horizontal="general" vertical="bottom"/>
    </xf>
    <xf numFmtId="0" fontId="4" fillId="0" borderId="0" applyAlignment="1" pivotButton="0" quotePrefix="0" xfId="0">
      <alignment horizontal="center" vertical="center"/>
    </xf>
    <xf numFmtId="0" fontId="10" fillId="2" borderId="0" applyAlignment="1" pivotButton="0" quotePrefix="0" xfId="0">
      <alignment horizontal="general" vertical="center"/>
    </xf>
    <xf numFmtId="0" fontId="4" fillId="2" borderId="0" applyAlignment="1" pivotButton="0" quotePrefix="0" xfId="0">
      <alignment horizontal="general" vertical="center"/>
    </xf>
    <xf numFmtId="0" fontId="6" fillId="2" borderId="42" applyAlignment="1" pivotButton="0" quotePrefix="0" xfId="0">
      <alignment horizontal="general" vertical="center"/>
    </xf>
    <xf numFmtId="0" fontId="11" fillId="2" borderId="6" applyAlignment="1" pivotButton="0" quotePrefix="0" xfId="0">
      <alignment horizontal="center" vertical="center"/>
    </xf>
    <xf numFmtId="0" fontId="12" fillId="2" borderId="6" applyAlignment="1" pivotButton="0" quotePrefix="0" xfId="0">
      <alignment horizontal="center" vertical="center"/>
    </xf>
    <xf numFmtId="176" fontId="12" fillId="2" borderId="6" applyAlignment="1" pivotButton="0" quotePrefix="0" xfId="0">
      <alignment horizontal="center" vertical="center"/>
    </xf>
    <xf numFmtId="0" fontId="11" fillId="2" borderId="6" applyAlignment="1" pivotButton="0" quotePrefix="0" xfId="0">
      <alignment horizontal="general" vertical="center" shrinkToFit="1"/>
    </xf>
    <xf numFmtId="0" fontId="11" fillId="2" borderId="7" applyAlignment="1" pivotButton="0" quotePrefix="0" xfId="0">
      <alignment horizontal="general" vertical="center"/>
    </xf>
    <xf numFmtId="0" fontId="12" fillId="2" borderId="43" applyAlignment="1" pivotButton="0" quotePrefix="0" xfId="0">
      <alignment horizontal="center" vertical="center"/>
    </xf>
    <xf numFmtId="0" fontId="13" fillId="0" borderId="6" applyAlignment="1" pivotButton="0" quotePrefix="0" xfId="0">
      <alignment horizontal="center" vertical="center"/>
    </xf>
    <xf numFmtId="0" fontId="11" fillId="2" borderId="17" applyAlignment="1" pivotButton="0" quotePrefix="0" xfId="0">
      <alignment horizontal="general" vertical="center"/>
    </xf>
    <xf numFmtId="0" fontId="11" fillId="2" borderId="44" applyAlignment="1" pivotButton="0" quotePrefix="0" xfId="0">
      <alignment horizontal="center" vertical="center"/>
    </xf>
    <xf numFmtId="177" fontId="13" fillId="0" borderId="45" applyAlignment="1" pivotButton="0" quotePrefix="0" xfId="0">
      <alignment horizontal="center" vertical="center"/>
    </xf>
    <xf numFmtId="0" fontId="11" fillId="2" borderId="46" applyAlignment="1" pivotButton="0" quotePrefix="0" xfId="0">
      <alignment horizontal="general" vertical="center"/>
    </xf>
    <xf numFmtId="0" fontId="12" fillId="2" borderId="47" applyAlignment="1" pivotButton="0" quotePrefix="0" xfId="0">
      <alignment horizontal="center" vertical="center"/>
    </xf>
    <xf numFmtId="0" fontId="13" fillId="0" borderId="48" applyAlignment="1" pivotButton="0" quotePrefix="0" xfId="0">
      <alignment horizontal="center" vertical="center"/>
    </xf>
    <xf numFmtId="0" fontId="11" fillId="2" borderId="49" applyAlignment="1" pivotButton="0" quotePrefix="0" xfId="0">
      <alignment horizontal="general" vertical="center"/>
    </xf>
    <xf numFmtId="0" fontId="12" fillId="2" borderId="50" applyAlignment="1" pivotButton="0" quotePrefix="0" xfId="0">
      <alignment horizontal="center" vertical="center"/>
    </xf>
    <xf numFmtId="0" fontId="13" fillId="0" borderId="51" applyAlignment="1" pivotButton="0" quotePrefix="0" xfId="0">
      <alignment horizontal="center" vertical="center"/>
    </xf>
    <xf numFmtId="0" fontId="14" fillId="0" borderId="45" applyAlignment="1" pivotButton="0" quotePrefix="0" xfId="0">
      <alignment horizontal="center" vertical="center"/>
    </xf>
    <xf numFmtId="0" fontId="6" fillId="0" borderId="0" applyAlignment="1" pivotButton="0" quotePrefix="0" xfId="0">
      <alignment horizontal="center" vertical="center"/>
    </xf>
    <xf numFmtId="0" fontId="11" fillId="2" borderId="52" applyAlignment="1" pivotButton="0" quotePrefix="0" xfId="0">
      <alignment horizontal="general" vertical="center"/>
    </xf>
    <xf numFmtId="0" fontId="12" fillId="2" borderId="53" applyAlignment="1" pivotButton="0" quotePrefix="0" xfId="0">
      <alignment horizontal="center" vertical="center"/>
    </xf>
    <xf numFmtId="0" fontId="14" fillId="0" borderId="51" applyAlignment="1" pivotButton="0" quotePrefix="0" xfId="0">
      <alignment horizontal="center" vertical="center"/>
    </xf>
    <xf numFmtId="49" fontId="6" fillId="0" borderId="0" applyAlignment="1" pivotButton="0" quotePrefix="0" xfId="0">
      <alignment horizontal="center" vertical="center"/>
    </xf>
    <xf numFmtId="0" fontId="11" fillId="2" borderId="14" applyAlignment="1" pivotButton="0" quotePrefix="0" xfId="0">
      <alignment horizontal="general" vertical="center" shrinkToFit="1"/>
    </xf>
    <xf numFmtId="0" fontId="12" fillId="2" borderId="14" applyAlignment="1" pivotButton="0" quotePrefix="0" xfId="0">
      <alignment horizontal="center" vertical="center"/>
    </xf>
    <xf numFmtId="0" fontId="13" fillId="0" borderId="45" applyAlignment="1" pivotButton="0" quotePrefix="0" xfId="0">
      <alignment horizontal="center" vertical="center"/>
    </xf>
    <xf numFmtId="0" fontId="14" fillId="0" borderId="48" applyAlignment="1" pivotButton="0" quotePrefix="0" xfId="0">
      <alignment horizontal="center" vertical="center"/>
    </xf>
    <xf numFmtId="0" fontId="6" fillId="0" borderId="0" applyAlignment="1" pivotButton="0" quotePrefix="0" xfId="0">
      <alignment horizontal="general" vertical="center"/>
    </xf>
    <xf numFmtId="0" fontId="11" fillId="2" borderId="10" applyAlignment="1" pivotButton="0" quotePrefix="0" xfId="0">
      <alignment horizontal="general" vertical="center" shrinkToFit="1"/>
    </xf>
    <xf numFmtId="49" fontId="12" fillId="2" borderId="6" applyAlignment="1" pivotButton="0" quotePrefix="0" xfId="0">
      <alignment horizontal="center" vertical="center"/>
    </xf>
    <xf numFmtId="49" fontId="11" fillId="2" borderId="6" applyAlignment="1" pivotButton="0" quotePrefix="0" xfId="0">
      <alignment horizontal="center" vertical="center"/>
    </xf>
    <xf numFmtId="177" fontId="13" fillId="0" borderId="51" applyAlignment="1" pivotButton="0" quotePrefix="0" xfId="0">
      <alignment horizontal="center" vertical="center"/>
    </xf>
    <xf numFmtId="177" fontId="14" fillId="0" borderId="51" applyAlignment="1" pivotButton="0" quotePrefix="0" xfId="0">
      <alignment horizontal="center" vertical="center" shrinkToFit="1"/>
    </xf>
    <xf numFmtId="0" fontId="12" fillId="2" borderId="10" applyAlignment="1" pivotButton="0" quotePrefix="0" xfId="0">
      <alignment horizontal="center" vertical="center"/>
    </xf>
    <xf numFmtId="0" fontId="11" fillId="2" borderId="43" applyAlignment="1" pivotButton="0" quotePrefix="0" xfId="0">
      <alignment horizontal="center" vertical="center"/>
    </xf>
    <xf numFmtId="166" fontId="13" fillId="0" borderId="45" applyAlignment="1" pivotButton="0" quotePrefix="0" xfId="0">
      <alignment horizontal="center" vertical="center"/>
    </xf>
    <xf numFmtId="0" fontId="11" fillId="2" borderId="24" applyAlignment="1" pivotButton="0" quotePrefix="0" xfId="0">
      <alignment horizontal="general" vertical="center" shrinkToFit="1"/>
    </xf>
    <xf numFmtId="49" fontId="12" fillId="2" borderId="14" applyAlignment="1" pivotButton="0" quotePrefix="0" xfId="0">
      <alignment horizontal="center" vertical="center"/>
    </xf>
    <xf numFmtId="0" fontId="11" fillId="2" borderId="33" applyAlignment="1" pivotButton="0" quotePrefix="0" xfId="0">
      <alignment horizontal="general" vertical="center"/>
    </xf>
    <xf numFmtId="0" fontId="11" fillId="2" borderId="54" applyAlignment="1" pivotButton="0" quotePrefix="0" xfId="0">
      <alignment horizontal="center" vertical="center"/>
    </xf>
    <xf numFmtId="177" fontId="13" fillId="0" borderId="0" applyAlignment="1" pivotButton="0" quotePrefix="0" xfId="0">
      <alignment horizontal="center" vertical="center"/>
    </xf>
    <xf numFmtId="0" fontId="13" fillId="0" borderId="0" applyAlignment="1" pivotButton="0" quotePrefix="0" xfId="0">
      <alignment horizontal="center" vertical="center"/>
    </xf>
    <xf numFmtId="0" fontId="14" fillId="0" borderId="0" applyAlignment="1" pivotButton="0" quotePrefix="0" xfId="0">
      <alignment horizontal="center" vertical="center"/>
    </xf>
    <xf numFmtId="49" fontId="6" fillId="0" borderId="0" applyAlignment="1" pivotButton="0" quotePrefix="0" xfId="0">
      <alignment horizontal="general" vertical="center"/>
    </xf>
    <xf numFmtId="166" fontId="13" fillId="0" borderId="48" applyAlignment="1" pivotButton="0" quotePrefix="0" xfId="0">
      <alignment horizontal="center" vertical="center"/>
    </xf>
    <xf numFmtId="166" fontId="14" fillId="0" borderId="48" applyAlignment="1" pivotButton="0" quotePrefix="0" xfId="0">
      <alignment horizontal="center" vertical="center"/>
    </xf>
    <xf numFmtId="166" fontId="14" fillId="0" borderId="51" applyAlignment="1" pivotButton="0" quotePrefix="0" xfId="0">
      <alignment horizontal="center" vertical="center"/>
    </xf>
    <xf numFmtId="0" fontId="11" fillId="2" borderId="6" applyAlignment="1" pivotButton="0" quotePrefix="0" xfId="0">
      <alignment horizontal="left" vertical="center" shrinkToFit="1"/>
    </xf>
    <xf numFmtId="0" fontId="12" fillId="2" borderId="42" applyAlignment="1" pivotButton="0" quotePrefix="0" xfId="0">
      <alignment horizontal="general" vertical="center"/>
    </xf>
    <xf numFmtId="0" fontId="11" fillId="2" borderId="0" applyAlignment="1" pivotButton="0" quotePrefix="0" xfId="0">
      <alignment horizontal="general" vertical="center"/>
    </xf>
    <xf numFmtId="0" fontId="11" fillId="2" borderId="6" applyAlignment="1" pivotButton="0" quotePrefix="0" xfId="0">
      <alignment horizontal="center" vertical="center" wrapText="1"/>
    </xf>
    <xf numFmtId="0" fontId="15" fillId="2" borderId="6" applyAlignment="1" pivotButton="0" quotePrefix="0" xfId="0">
      <alignment horizontal="left" vertical="center" shrinkToFit="1"/>
    </xf>
    <xf numFmtId="0" fontId="14" fillId="0" borderId="55" applyAlignment="1" pivotButton="0" quotePrefix="0" xfId="0">
      <alignment horizontal="center" vertical="center"/>
    </xf>
    <xf numFmtId="0" fontId="11" fillId="2" borderId="56" applyAlignment="1" pivotButton="0" quotePrefix="0" xfId="0">
      <alignment horizontal="general" vertical="center"/>
    </xf>
    <xf numFmtId="2" fontId="13" fillId="0" borderId="55" applyAlignment="1" pivotButton="0" quotePrefix="0" xfId="0">
      <alignment horizontal="center" vertical="center"/>
    </xf>
    <xf numFmtId="0" fontId="12" fillId="2" borderId="57" applyAlignment="1" pivotButton="0" quotePrefix="0" xfId="0">
      <alignment horizontal="center" vertical="center"/>
    </xf>
    <xf numFmtId="0" fontId="14" fillId="0" borderId="14" applyAlignment="1" pivotButton="0" quotePrefix="0" xfId="0">
      <alignment horizontal="center" vertical="center"/>
    </xf>
    <xf numFmtId="0" fontId="11" fillId="2" borderId="57" applyAlignment="1" pivotButton="0" quotePrefix="0" xfId="0">
      <alignment horizontal="center" vertical="center"/>
    </xf>
    <xf numFmtId="172" fontId="13" fillId="0" borderId="55" applyAlignment="1" pivotButton="0" quotePrefix="0" xfId="0">
      <alignment horizontal="center" vertical="center"/>
    </xf>
    <xf numFmtId="0" fontId="14" fillId="0" borderId="6" applyAlignment="1" pivotButton="0" quotePrefix="0" xfId="0">
      <alignment horizontal="center" vertical="center"/>
    </xf>
    <xf numFmtId="0" fontId="11" fillId="2" borderId="6" applyAlignment="1" pivotButton="0" quotePrefix="0" xfId="0">
      <alignment horizontal="general" vertical="center"/>
    </xf>
    <xf numFmtId="177" fontId="13" fillId="0" borderId="55" applyAlignment="1" pivotButton="0" quotePrefix="0" xfId="0">
      <alignment horizontal="center" vertical="center"/>
    </xf>
    <xf numFmtId="0" fontId="11" fillId="2" borderId="48" applyAlignment="1" pivotButton="0" quotePrefix="0" xfId="0">
      <alignment horizontal="general" vertical="center"/>
    </xf>
    <xf numFmtId="0" fontId="11" fillId="2" borderId="14" applyAlignment="1" pivotButton="0" quotePrefix="0" xfId="0">
      <alignment horizontal="general" vertical="center"/>
    </xf>
    <xf numFmtId="0" fontId="11" fillId="2" borderId="45" applyAlignment="1" pivotButton="0" quotePrefix="0" xfId="0">
      <alignment horizontal="general" vertical="center" shrinkToFit="1"/>
    </xf>
    <xf numFmtId="0" fontId="13" fillId="0" borderId="55" applyAlignment="1" pivotButton="0" quotePrefix="0" xfId="0">
      <alignment horizontal="center" vertical="center"/>
    </xf>
    <xf numFmtId="0" fontId="11" fillId="2" borderId="51" applyAlignment="1" pivotButton="0" quotePrefix="0" xfId="0">
      <alignment horizontal="general" vertical="center"/>
    </xf>
    <xf numFmtId="0" fontId="12" fillId="2" borderId="0" applyAlignment="1" pivotButton="0" quotePrefix="0" xfId="0">
      <alignment horizontal="general" vertical="center"/>
    </xf>
    <xf numFmtId="0" fontId="12" fillId="2" borderId="54" applyAlignment="1" pivotButton="0" quotePrefix="0" xfId="0">
      <alignment horizontal="general" vertical="center"/>
    </xf>
    <xf numFmtId="0" fontId="12" fillId="2" borderId="50" applyAlignment="1" pivotButton="0" quotePrefix="0" xfId="0">
      <alignment horizontal="general" vertical="center"/>
    </xf>
    <xf numFmtId="0" fontId="16" fillId="2" borderId="7" applyAlignment="1" pivotButton="0" quotePrefix="0" xfId="0">
      <alignment horizontal="center" vertical="center"/>
    </xf>
    <xf numFmtId="0" fontId="11" fillId="2" borderId="7" applyAlignment="1" pivotButton="0" quotePrefix="0" xfId="0">
      <alignment horizontal="center" vertical="center"/>
    </xf>
    <xf numFmtId="177" fontId="13" fillId="0" borderId="51" applyAlignment="1" pivotButton="0" quotePrefix="0" xfId="0">
      <alignment horizontal="center" vertical="center" shrinkToFit="1"/>
    </xf>
    <xf numFmtId="177" fontId="14" fillId="0" borderId="48" applyAlignment="1" pivotButton="0" quotePrefix="0" xfId="0">
      <alignment horizontal="center" vertical="center" shrinkToFit="1"/>
    </xf>
    <xf numFmtId="172" fontId="13" fillId="0" borderId="45" applyAlignment="1" pivotButton="0" quotePrefix="0" xfId="0">
      <alignment horizontal="center" vertical="center"/>
    </xf>
    <xf numFmtId="177" fontId="13" fillId="0" borderId="48" applyAlignment="1" pivotButton="0" quotePrefix="0" xfId="0">
      <alignment horizontal="center" vertical="center"/>
    </xf>
    <xf numFmtId="177" fontId="14" fillId="0" borderId="0" applyAlignment="1" pivotButton="0" quotePrefix="0" xfId="0">
      <alignment horizontal="center" vertical="center" shrinkToFit="1"/>
    </xf>
    <xf numFmtId="0" fontId="11" fillId="2" borderId="36" applyAlignment="1" pivotButton="0" quotePrefix="0" xfId="0">
      <alignment horizontal="general" vertical="center"/>
    </xf>
    <xf numFmtId="0" fontId="17" fillId="0" borderId="6" applyAlignment="1" pivotButton="0" quotePrefix="0" xfId="0">
      <alignment horizontal="center" vertical="center"/>
    </xf>
    <xf numFmtId="177" fontId="17" fillId="0" borderId="45" applyAlignment="1" pivotButton="0" quotePrefix="0" xfId="0">
      <alignment horizontal="center" vertical="center"/>
    </xf>
    <xf numFmtId="0" fontId="17" fillId="0" borderId="48" applyAlignment="1" pivotButton="0" quotePrefix="0" xfId="0">
      <alignment horizontal="center" vertical="center"/>
    </xf>
    <xf numFmtId="0" fontId="17" fillId="0" borderId="51" applyAlignment="1" pivotButton="0" quotePrefix="0" xfId="0">
      <alignment horizontal="center" vertical="center"/>
    </xf>
    <xf numFmtId="0" fontId="18" fillId="0" borderId="45" applyAlignment="1" pivotButton="0" quotePrefix="0" xfId="0">
      <alignment horizontal="center" vertical="center"/>
    </xf>
    <xf numFmtId="0" fontId="18" fillId="0" borderId="51" applyAlignment="1" pivotButton="0" quotePrefix="0" xfId="0">
      <alignment horizontal="center" vertical="center"/>
    </xf>
    <xf numFmtId="0" fontId="17" fillId="0" borderId="45" applyAlignment="1" pivotButton="0" quotePrefix="0" xfId="0">
      <alignment horizontal="center" vertical="center"/>
    </xf>
    <xf numFmtId="0" fontId="18" fillId="0" borderId="48" applyAlignment="1" pivotButton="0" quotePrefix="0" xfId="0">
      <alignment horizontal="center" vertical="center"/>
    </xf>
    <xf numFmtId="0" fontId="17" fillId="0" borderId="55" applyAlignment="1" pivotButton="0" quotePrefix="0" xfId="0">
      <alignment horizontal="center" vertical="center"/>
    </xf>
    <xf numFmtId="177" fontId="18" fillId="0" borderId="51" applyAlignment="1" pivotButton="0" quotePrefix="0" xfId="0">
      <alignment horizontal="center" vertical="center" shrinkToFit="1"/>
    </xf>
    <xf numFmtId="166" fontId="17" fillId="0" borderId="45" applyAlignment="1" pivotButton="0" quotePrefix="0" xfId="0">
      <alignment horizontal="center" vertical="center"/>
    </xf>
    <xf numFmtId="177" fontId="17" fillId="0" borderId="55" applyAlignment="1" pivotButton="0" quotePrefix="0" xfId="0">
      <alignment horizontal="center" vertical="center"/>
    </xf>
    <xf numFmtId="172" fontId="17" fillId="0" borderId="45" applyAlignment="1" pivotButton="0" quotePrefix="0" xfId="0">
      <alignment horizontal="center" vertical="center"/>
    </xf>
    <xf numFmtId="172" fontId="17" fillId="0" borderId="0" applyAlignment="1" pivotButton="0" quotePrefix="0" xfId="0">
      <alignment horizontal="center" vertical="center"/>
    </xf>
    <xf numFmtId="166" fontId="17" fillId="0" borderId="48" applyAlignment="1" pivotButton="0" quotePrefix="0" xfId="0">
      <alignment horizontal="center" vertical="center"/>
    </xf>
    <xf numFmtId="166" fontId="17" fillId="0" borderId="0" applyAlignment="1" pivotButton="0" quotePrefix="0" xfId="0">
      <alignment horizontal="center" vertical="center"/>
    </xf>
    <xf numFmtId="166" fontId="18" fillId="0" borderId="48" applyAlignment="1" pivotButton="0" quotePrefix="0" xfId="0">
      <alignment horizontal="center" vertical="center"/>
    </xf>
    <xf numFmtId="166" fontId="18" fillId="0" borderId="0" applyAlignment="1" pivotButton="0" quotePrefix="0" xfId="0">
      <alignment horizontal="center" vertical="center"/>
    </xf>
    <xf numFmtId="0" fontId="18" fillId="0" borderId="55" applyAlignment="1" pivotButton="0" quotePrefix="0" xfId="0">
      <alignment horizontal="center" vertical="center"/>
    </xf>
    <xf numFmtId="166" fontId="17" fillId="0" borderId="55" applyAlignment="1" pivotButton="0" quotePrefix="0" xfId="0">
      <alignment horizontal="center" vertical="center"/>
    </xf>
    <xf numFmtId="166" fontId="13" fillId="0" borderId="55" applyAlignment="1" pivotButton="0" quotePrefix="0" xfId="0">
      <alignment horizontal="center" vertical="center"/>
    </xf>
    <xf numFmtId="0" fontId="18" fillId="0" borderId="14" applyAlignment="1" pivotButton="0" quotePrefix="0" xfId="0">
      <alignment horizontal="center" vertical="center"/>
    </xf>
    <xf numFmtId="172" fontId="17" fillId="0" borderId="55" applyAlignment="1" pivotButton="0" quotePrefix="0" xfId="0">
      <alignment horizontal="center" vertical="center"/>
    </xf>
    <xf numFmtId="0" fontId="18" fillId="0" borderId="6" applyAlignment="1" pivotButton="0" quotePrefix="0" xfId="0">
      <alignment horizontal="center" vertical="center"/>
    </xf>
    <xf numFmtId="0" fontId="16" fillId="2" borderId="6" applyAlignment="1" pivotButton="0" quotePrefix="0" xfId="0">
      <alignment horizontal="center" vertical="center"/>
    </xf>
    <xf numFmtId="176" fontId="19" fillId="2" borderId="6" applyAlignment="1" pivotButton="0" quotePrefix="0" xfId="0">
      <alignment horizontal="center" vertical="center"/>
    </xf>
    <xf numFmtId="0" fontId="11" fillId="2" borderId="10" applyAlignment="1" pivotButton="0" quotePrefix="0" xfId="0">
      <alignment horizontal="general" vertical="center" wrapText="1"/>
    </xf>
    <xf numFmtId="177" fontId="17" fillId="0" borderId="51" applyAlignment="1" pivotButton="0" quotePrefix="0" xfId="0">
      <alignment horizontal="center" vertical="center" shrinkToFit="1"/>
    </xf>
    <xf numFmtId="0" fontId="11" fillId="2" borderId="6" applyAlignment="1" pivotButton="0" quotePrefix="0" xfId="0">
      <alignment horizontal="general" vertical="center" wrapText="1"/>
    </xf>
    <xf numFmtId="0" fontId="11" fillId="2" borderId="24" applyAlignment="1" pivotButton="0" quotePrefix="0" xfId="0">
      <alignment horizontal="general" vertical="center" wrapText="1"/>
    </xf>
    <xf numFmtId="166" fontId="18" fillId="0" borderId="51" applyAlignment="1" pivotButton="0" quotePrefix="0" xfId="0">
      <alignment horizontal="center" vertical="center"/>
    </xf>
    <xf numFmtId="0" fontId="11" fillId="2" borderId="6" applyAlignment="1" pivotButton="0" quotePrefix="0" xfId="0">
      <alignment horizontal="left" vertical="center" wrapText="1"/>
    </xf>
    <xf numFmtId="178" fontId="12" fillId="0" borderId="0" applyAlignment="1" pivotButton="0" quotePrefix="0" xfId="0">
      <alignment horizontal="right" vertical="center"/>
    </xf>
    <xf numFmtId="0" fontId="15" fillId="2" borderId="6" applyAlignment="1" pivotButton="0" quotePrefix="0" xfId="0">
      <alignment horizontal="left" vertical="center" wrapText="1"/>
    </xf>
    <xf numFmtId="177" fontId="17" fillId="0" borderId="0" applyAlignment="1" pivotButton="0" quotePrefix="0" xfId="0">
      <alignment horizontal="center" vertical="center"/>
    </xf>
    <xf numFmtId="0" fontId="17" fillId="0" borderId="0" applyAlignment="1" pivotButton="0" quotePrefix="0" xfId="0">
      <alignment horizontal="center" vertical="center"/>
    </xf>
    <xf numFmtId="0" fontId="18" fillId="0" borderId="0" applyAlignment="1" pivotButton="0" quotePrefix="0" xfId="0">
      <alignment horizontal="center" vertical="center"/>
    </xf>
    <xf numFmtId="2" fontId="17" fillId="0" borderId="55" applyAlignment="1" pivotButton="0" quotePrefix="0" xfId="0">
      <alignment horizontal="center" vertical="center"/>
    </xf>
    <xf numFmtId="0" fontId="11" fillId="2" borderId="6" applyAlignment="1" pivotButton="0" quotePrefix="0" xfId="0">
      <alignment horizontal="left" vertical="center"/>
    </xf>
    <xf numFmtId="0" fontId="12" fillId="2" borderId="0" applyAlignment="1" pivotButton="0" quotePrefix="0" xfId="0">
      <alignment horizontal="center" vertical="center"/>
    </xf>
    <xf numFmtId="49" fontId="12" fillId="2" borderId="0" applyAlignment="1" pivotButton="0" quotePrefix="0" xfId="0">
      <alignment horizontal="general" vertical="center"/>
    </xf>
    <xf numFmtId="49" fontId="12" fillId="0" borderId="0" applyAlignment="1" pivotButton="0" quotePrefix="0" xfId="0">
      <alignment horizontal="general" vertical="center"/>
    </xf>
    <xf numFmtId="0" fontId="12" fillId="0" borderId="0" applyAlignment="1" pivotButton="0" quotePrefix="0" xfId="0">
      <alignment horizontal="general" vertical="center"/>
    </xf>
    <xf numFmtId="0" fontId="14" fillId="2" borderId="6" applyAlignment="1" pivotButton="0" quotePrefix="0" xfId="0">
      <alignment horizontal="center" vertical="center" textRotation="255"/>
    </xf>
    <xf numFmtId="0" fontId="12" fillId="2" borderId="10" applyAlignment="1" pivotButton="0" quotePrefix="0" xfId="0">
      <alignment horizontal="center" vertical="center" shrinkToFit="1"/>
    </xf>
    <xf numFmtId="0" fontId="19" fillId="2" borderId="10" applyAlignment="1" pivotButton="0" quotePrefix="0" xfId="0">
      <alignment horizontal="center" vertical="center"/>
    </xf>
    <xf numFmtId="0" fontId="11" fillId="2" borderId="58" applyAlignment="1" pivotButton="0" quotePrefix="0" xfId="0">
      <alignment horizontal="center" vertical="center" shrinkToFit="1"/>
    </xf>
    <xf numFmtId="0" fontId="19" fillId="2" borderId="58" applyAlignment="1" pivotButton="0" quotePrefix="0" xfId="0">
      <alignment horizontal="center" vertical="center"/>
    </xf>
    <xf numFmtId="0" fontId="12" fillId="2" borderId="6" applyAlignment="1" pivotButton="0" quotePrefix="0" xfId="0">
      <alignment horizontal="center" vertical="center" shrinkToFit="1"/>
    </xf>
    <xf numFmtId="2" fontId="19" fillId="2" borderId="6" applyAlignment="1" pivotButton="0" quotePrefix="0" xfId="0">
      <alignment horizontal="center" vertical="center"/>
    </xf>
    <xf numFmtId="2" fontId="12" fillId="2" borderId="6" applyAlignment="1" pivotButton="0" quotePrefix="0" xfId="0">
      <alignment horizontal="center" vertical="center"/>
    </xf>
    <xf numFmtId="172" fontId="19" fillId="2" borderId="10" applyAlignment="1" pivotButton="0" quotePrefix="0" xfId="0">
      <alignment horizontal="center" vertical="center"/>
    </xf>
    <xf numFmtId="172" fontId="12" fillId="2" borderId="10" applyAlignment="1" pivotButton="0" quotePrefix="0" xfId="0">
      <alignment horizontal="center" vertical="center"/>
    </xf>
    <xf numFmtId="0" fontId="11" fillId="2" borderId="10" applyAlignment="1" pivotButton="0" quotePrefix="0" xfId="0">
      <alignment horizontal="center" vertical="center" shrinkToFit="1"/>
    </xf>
    <xf numFmtId="49" fontId="11" fillId="0" borderId="0" applyAlignment="1" pivotButton="0" quotePrefix="0" xfId="0">
      <alignment horizontal="general" vertical="center"/>
    </xf>
    <xf numFmtId="172" fontId="19" fillId="2" borderId="58" applyAlignment="1" pivotButton="0" quotePrefix="0" xfId="0">
      <alignment horizontal="center" vertical="center"/>
    </xf>
    <xf numFmtId="172" fontId="12" fillId="2" borderId="58" applyAlignment="1" pivotButton="0" quotePrefix="0" xfId="0">
      <alignment horizontal="center" vertical="center"/>
    </xf>
    <xf numFmtId="0" fontId="16" fillId="2" borderId="10" applyAlignment="1" pivotButton="0" quotePrefix="0" xfId="0">
      <alignment horizontal="center" vertical="center"/>
    </xf>
    <xf numFmtId="0" fontId="11" fillId="2" borderId="10" applyAlignment="1" pivotButton="0" quotePrefix="0" xfId="0">
      <alignment horizontal="center" vertical="center"/>
    </xf>
    <xf numFmtId="0" fontId="16" fillId="2" borderId="58" applyAlignment="1" pivotButton="0" quotePrefix="0" xfId="0">
      <alignment horizontal="center" vertical="center"/>
    </xf>
    <xf numFmtId="0" fontId="11" fillId="2" borderId="58" applyAlignment="1" pivotButton="0" quotePrefix="0" xfId="0">
      <alignment horizontal="center" vertical="center"/>
    </xf>
    <xf numFmtId="0" fontId="6" fillId="2" borderId="6" applyAlignment="1" pivotButton="0" quotePrefix="0" xfId="0">
      <alignment horizontal="center" vertical="center" shrinkToFit="1"/>
    </xf>
    <xf numFmtId="0" fontId="11" fillId="2" borderId="10" applyAlignment="1" pivotButton="0" quotePrefix="0" xfId="0">
      <alignment horizontal="general" vertical="center"/>
    </xf>
    <xf numFmtId="177" fontId="12" fillId="2" borderId="10" applyAlignment="1" pivotButton="0" quotePrefix="0" xfId="0">
      <alignment horizontal="center" vertical="center"/>
    </xf>
    <xf numFmtId="0" fontId="14" fillId="2" borderId="6" applyAlignment="1" pivotButton="0" quotePrefix="0" xfId="0">
      <alignment horizontal="right" vertical="center" textRotation="255"/>
    </xf>
    <xf numFmtId="0" fontId="19" fillId="2" borderId="58" applyAlignment="1" applyProtection="1" pivotButton="0" quotePrefix="0" xfId="0">
      <alignment horizontal="center" vertical="center"/>
      <protection locked="0" hidden="0"/>
    </xf>
    <xf numFmtId="0" fontId="12" fillId="2" borderId="29" applyAlignment="1" pivotButton="0" quotePrefix="0" xfId="0">
      <alignment horizontal="center" vertical="center" shrinkToFit="1"/>
    </xf>
    <xf numFmtId="172" fontId="19" fillId="2" borderId="29" applyAlignment="1" pivotButton="0" quotePrefix="0" xfId="0">
      <alignment horizontal="center" vertical="center"/>
    </xf>
    <xf numFmtId="172" fontId="12" fillId="2" borderId="29" applyAlignment="1" pivotButton="0" quotePrefix="0" xfId="0">
      <alignment horizontal="center" vertical="center"/>
    </xf>
    <xf numFmtId="0" fontId="11" fillId="2" borderId="14" applyAlignment="1" pivotButton="0" quotePrefix="0" xfId="0">
      <alignment horizontal="center" vertical="center" shrinkToFit="1"/>
    </xf>
    <xf numFmtId="0" fontId="19" fillId="2" borderId="24" applyAlignment="1" pivotButton="0" quotePrefix="0" xfId="0">
      <alignment horizontal="center" vertical="center"/>
    </xf>
    <xf numFmtId="0" fontId="19" fillId="2" borderId="6" applyAlignment="1" pivotButton="0" quotePrefix="0" xfId="0">
      <alignment horizontal="center" vertical="center"/>
    </xf>
    <xf numFmtId="0" fontId="11" fillId="2" borderId="6" applyAlignment="1" pivotButton="0" quotePrefix="0" xfId="0">
      <alignment horizontal="center" vertical="center" shrinkToFit="1"/>
    </xf>
    <xf numFmtId="0" fontId="11" fillId="2" borderId="29" applyAlignment="1" pivotButton="0" quotePrefix="0" xfId="0">
      <alignment horizontal="center" vertical="center" shrinkToFit="1"/>
    </xf>
    <xf numFmtId="169" fontId="19" fillId="2" borderId="29" applyAlignment="1" pivotButton="0" quotePrefix="0" xfId="0">
      <alignment horizontal="center" vertical="center"/>
    </xf>
    <xf numFmtId="169" fontId="12" fillId="2" borderId="29" applyAlignment="1" pivotButton="0" quotePrefix="0" xfId="0">
      <alignment horizontal="center" vertical="center"/>
    </xf>
    <xf numFmtId="169" fontId="12" fillId="2" borderId="58" applyAlignment="1" pivotButton="0" quotePrefix="0" xfId="0">
      <alignment horizontal="center" vertical="center"/>
    </xf>
    <xf numFmtId="0" fontId="19" fillId="2" borderId="29" applyAlignment="1" pivotButton="0" quotePrefix="0" xfId="0">
      <alignment horizontal="center" vertical="center"/>
    </xf>
    <xf numFmtId="0" fontId="12" fillId="2" borderId="29" applyAlignment="1" pivotButton="0" quotePrefix="0" xfId="0">
      <alignment horizontal="center" vertical="center"/>
    </xf>
    <xf numFmtId="0" fontId="12" fillId="2" borderId="58" applyAlignment="1" pivotButton="0" quotePrefix="0" xfId="0">
      <alignment horizontal="center" vertical="center"/>
    </xf>
    <xf numFmtId="0" fontId="12" fillId="2" borderId="6" applyAlignment="1" pivotButton="0" quotePrefix="0" xfId="0">
      <alignment horizontal="general" vertical="center"/>
    </xf>
    <xf numFmtId="0" fontId="11" fillId="2" borderId="6" applyAlignment="1" pivotButton="0" quotePrefix="0" xfId="0">
      <alignment horizontal="right" vertical="center" textRotation="255"/>
    </xf>
    <xf numFmtId="0" fontId="12" fillId="2" borderId="59" applyAlignment="1" pivotButton="0" quotePrefix="0" xfId="0">
      <alignment horizontal="general" vertical="center"/>
    </xf>
    <xf numFmtId="0" fontId="11" fillId="2" borderId="26" applyAlignment="1" pivotButton="0" quotePrefix="0" xfId="0">
      <alignment horizontal="general" vertical="center"/>
    </xf>
    <xf numFmtId="0" fontId="11" fillId="2" borderId="20" applyAlignment="1" pivotButton="0" quotePrefix="0" xfId="0">
      <alignment horizontal="general" vertical="center"/>
    </xf>
    <xf numFmtId="0" fontId="12" fillId="2" borderId="60" applyAlignment="1" pivotButton="0" quotePrefix="0" xfId="0">
      <alignment horizontal="center" vertical="center"/>
    </xf>
    <xf numFmtId="0" fontId="12" fillId="2" borderId="23" applyAlignment="1" pivotButton="0" quotePrefix="0" xfId="0">
      <alignment horizontal="center" vertical="center"/>
    </xf>
    <xf numFmtId="0" fontId="11" fillId="2" borderId="41" applyAlignment="1" pivotButton="0" quotePrefix="0" xfId="0">
      <alignment horizontal="general" vertical="center"/>
    </xf>
    <xf numFmtId="0" fontId="11" fillId="2" borderId="61" applyAlignment="1" pivotButton="0" quotePrefix="0" xfId="0">
      <alignment horizontal="center" vertical="center"/>
    </xf>
    <xf numFmtId="166" fontId="12" fillId="2" borderId="58" applyAlignment="1" pivotButton="0" quotePrefix="0" xfId="0">
      <alignment horizontal="center" vertical="center"/>
    </xf>
    <xf numFmtId="0" fontId="12" fillId="2" borderId="6" applyAlignment="1" pivotButton="0" quotePrefix="0" xfId="0">
      <alignment horizontal="general" vertical="center" wrapText="1"/>
    </xf>
    <xf numFmtId="0" fontId="11" fillId="2" borderId="16" applyAlignment="1" pivotButton="0" quotePrefix="0" xfId="0">
      <alignment horizontal="general" vertical="center"/>
    </xf>
    <xf numFmtId="0" fontId="12" fillId="2" borderId="62" applyAlignment="1" pivotButton="0" quotePrefix="0" xfId="0">
      <alignment horizontal="center" vertical="center"/>
    </xf>
    <xf numFmtId="0" fontId="11" fillId="2" borderId="19" applyAlignment="1" pivotButton="0" quotePrefix="0" xfId="0">
      <alignment horizontal="general" vertical="center"/>
    </xf>
    <xf numFmtId="0" fontId="12" fillId="2" borderId="63" applyAlignment="1" pivotButton="0" quotePrefix="0" xfId="0">
      <alignment horizontal="center" vertical="center"/>
    </xf>
    <xf numFmtId="0" fontId="11" fillId="2" borderId="22" applyAlignment="1" pivotButton="0" quotePrefix="0" xfId="0">
      <alignment horizontal="general" vertical="center"/>
    </xf>
    <xf numFmtId="0" fontId="11" fillId="2" borderId="64" applyAlignment="1" pivotButton="0" quotePrefix="0" xfId="0">
      <alignment horizontal="center" vertical="center"/>
    </xf>
    <xf numFmtId="166" fontId="12" fillId="2" borderId="34" applyAlignment="1" pivotButton="0" quotePrefix="0" xfId="0">
      <alignment horizontal="center" vertical="center"/>
    </xf>
    <xf numFmtId="0" fontId="12" fillId="2" borderId="65" applyAlignment="1" pivotButton="0" quotePrefix="0" xfId="0">
      <alignment horizontal="center" vertical="center"/>
    </xf>
    <xf numFmtId="0" fontId="12" fillId="2" borderId="66" applyAlignment="1" pivotButton="0" quotePrefix="0" xfId="0">
      <alignment horizontal="center" vertical="center"/>
    </xf>
    <xf numFmtId="0" fontId="11" fillId="2" borderId="66" applyAlignment="1" pivotButton="0" quotePrefix="0" xfId="0">
      <alignment horizontal="center" vertical="center"/>
    </xf>
    <xf numFmtId="166" fontId="19" fillId="2" borderId="30" applyAlignment="1" pivotButton="0" quotePrefix="0" xfId="0">
      <alignment horizontal="center" vertical="center"/>
    </xf>
    <xf numFmtId="0" fontId="11" fillId="2" borderId="67" applyAlignment="1" pivotButton="0" quotePrefix="0" xfId="0">
      <alignment horizontal="center" vertical="center"/>
    </xf>
    <xf numFmtId="168" fontId="4" fillId="0" borderId="30" applyAlignment="1" pivotButton="0" quotePrefix="0" xfId="0">
      <alignment horizontal="center" vertical="bottom"/>
    </xf>
    <xf numFmtId="0" fontId="12" fillId="2" borderId="68" applyAlignment="1" pivotButton="0" quotePrefix="0" xfId="0">
      <alignment horizontal="center" vertical="center"/>
    </xf>
    <xf numFmtId="0" fontId="12" fillId="2" borderId="69" applyAlignment="1" pivotButton="0" quotePrefix="0" xfId="0">
      <alignment horizontal="center" vertical="center"/>
    </xf>
    <xf numFmtId="0" fontId="12" fillId="2" borderId="40" applyAlignment="1" pivotButton="0" quotePrefix="0" xfId="0">
      <alignment horizontal="center" vertical="center"/>
    </xf>
    <xf numFmtId="0" fontId="12" fillId="2" borderId="19" applyAlignment="1" pivotButton="0" quotePrefix="0" xfId="0">
      <alignment horizontal="general" vertical="center" shrinkToFit="1"/>
    </xf>
    <xf numFmtId="0" fontId="11" fillId="2" borderId="70" applyAlignment="1" pivotButton="0" quotePrefix="0" xfId="0">
      <alignment horizontal="center" vertical="center"/>
    </xf>
    <xf numFmtId="170" fontId="12" fillId="2" borderId="30" applyAlignment="1" pivotButton="0" quotePrefix="0" xfId="0">
      <alignment horizontal="center" vertical="center"/>
    </xf>
    <xf numFmtId="0" fontId="11" fillId="2" borderId="50" applyAlignment="1" pivotButton="0" quotePrefix="0" xfId="0">
      <alignment horizontal="center" vertical="center"/>
    </xf>
    <xf numFmtId="169" fontId="4" fillId="0" borderId="34" applyAlignment="1" pivotButton="0" quotePrefix="0" xfId="0">
      <alignment horizontal="center" vertical="bottom"/>
    </xf>
    <xf numFmtId="0" fontId="12" fillId="2" borderId="71" applyAlignment="1" pivotButton="0" quotePrefix="0" xfId="0">
      <alignment horizontal="center" vertical="center"/>
    </xf>
    <xf numFmtId="0" fontId="12" fillId="2" borderId="72" applyAlignment="1" pivotButton="0" quotePrefix="0" xfId="0">
      <alignment horizontal="center" vertical="center"/>
    </xf>
    <xf numFmtId="168" fontId="4" fillId="0" borderId="34" applyAlignment="1" pivotButton="0" quotePrefix="0" xfId="0">
      <alignment horizontal="center" vertical="bottom"/>
    </xf>
    <xf numFmtId="0" fontId="11" fillId="2" borderId="10" applyAlignment="1" pivotButton="0" quotePrefix="0" xfId="0">
      <alignment horizontal="general" vertical="bottom" shrinkToFit="1"/>
    </xf>
    <xf numFmtId="0" fontId="12" fillId="2" borderId="24" applyAlignment="1" pivotButton="0" quotePrefix="0" xfId="0">
      <alignment horizontal="center" vertical="center"/>
    </xf>
    <xf numFmtId="0" fontId="11" fillId="2" borderId="14" applyAlignment="1" pivotButton="0" quotePrefix="0" xfId="0">
      <alignment horizontal="general" vertical="top" shrinkToFit="1"/>
    </xf>
    <xf numFmtId="0" fontId="12" fillId="2" borderId="70" applyAlignment="1" pivotButton="0" quotePrefix="0" xfId="0">
      <alignment horizontal="center" vertical="center"/>
    </xf>
    <xf numFmtId="175" fontId="12" fillId="2" borderId="73" applyAlignment="1" pivotButton="0" quotePrefix="0" xfId="0">
      <alignment horizontal="center" vertical="center"/>
    </xf>
    <xf numFmtId="170" fontId="12" fillId="2" borderId="34" applyAlignment="1" pivotButton="0" quotePrefix="0" xfId="0">
      <alignment horizontal="center" vertical="center"/>
    </xf>
    <xf numFmtId="170" fontId="12" fillId="2" borderId="73" applyAlignment="1" pivotButton="0" quotePrefix="0" xfId="0">
      <alignment horizontal="center" vertical="center"/>
    </xf>
    <xf numFmtId="0" fontId="12" fillId="2" borderId="65" applyAlignment="1" pivotButton="0" quotePrefix="0" xfId="0">
      <alignment horizontal="general" vertical="center"/>
    </xf>
    <xf numFmtId="0" fontId="12" fillId="2" borderId="66" applyAlignment="1" pivotButton="0" quotePrefix="0" xfId="0">
      <alignment horizontal="general" vertical="center"/>
    </xf>
    <xf numFmtId="0" fontId="12" fillId="2" borderId="67" applyAlignment="1" pivotButton="0" quotePrefix="0" xfId="0">
      <alignment horizontal="general" vertical="center"/>
    </xf>
    <xf numFmtId="0" fontId="15" fillId="2" borderId="6" applyAlignment="1" pivotButton="0" quotePrefix="0" xfId="0">
      <alignment horizontal="right" vertical="center" textRotation="255" shrinkToFit="1"/>
    </xf>
    <xf numFmtId="0" fontId="12" fillId="2" borderId="64" applyAlignment="1" pivotButton="0" quotePrefix="0" xfId="0">
      <alignment horizontal="center" vertical="center"/>
    </xf>
    <xf numFmtId="0" fontId="12" fillId="2" borderId="34" applyAlignment="1" pivotButton="0" quotePrefix="0" xfId="0">
      <alignment horizontal="center" vertical="center"/>
    </xf>
    <xf numFmtId="0" fontId="13" fillId="2" borderId="36" applyAlignment="1" pivotButton="0" quotePrefix="0" xfId="0">
      <alignment horizontal="right" vertical="center" textRotation="255"/>
    </xf>
    <xf numFmtId="0" fontId="12" fillId="2" borderId="36" applyAlignment="1" pivotButton="0" quotePrefix="0" xfId="0">
      <alignment horizontal="center" vertical="center"/>
    </xf>
    <xf numFmtId="177" fontId="19" fillId="2" borderId="10" applyAlignment="1" pivotButton="0" quotePrefix="0" xfId="0">
      <alignment horizontal="center" vertical="center"/>
    </xf>
    <xf numFmtId="172" fontId="16" fillId="2" borderId="58" applyAlignment="1" pivotButton="0" quotePrefix="0" xfId="0">
      <alignment horizontal="center" vertical="center"/>
    </xf>
    <xf numFmtId="169" fontId="19" fillId="2" borderId="58" applyAlignment="1" pivotButton="0" quotePrefix="0" xfId="0">
      <alignment horizontal="center" vertical="center"/>
    </xf>
    <xf numFmtId="0" fontId="19" fillId="2" borderId="23" applyAlignment="1" pivotButton="0" quotePrefix="0" xfId="0">
      <alignment horizontal="center" vertical="center"/>
    </xf>
    <xf numFmtId="166" fontId="19" fillId="2" borderId="58" applyAlignment="1" pivotButton="0" quotePrefix="0" xfId="0">
      <alignment horizontal="center" vertical="center"/>
    </xf>
    <xf numFmtId="166" fontId="19" fillId="2" borderId="34" applyAlignment="1" pivotButton="0" quotePrefix="0" xfId="0">
      <alignment horizontal="center" vertical="center"/>
    </xf>
    <xf numFmtId="166" fontId="12" fillId="2" borderId="30" applyAlignment="1" pivotButton="0" quotePrefix="0" xfId="0">
      <alignment horizontal="center" vertical="center"/>
    </xf>
    <xf numFmtId="0" fontId="19" fillId="2" borderId="40" applyAlignment="1" pivotButton="0" quotePrefix="0" xfId="0">
      <alignment horizontal="center" vertical="center"/>
    </xf>
    <xf numFmtId="170" fontId="19" fillId="2" borderId="30" applyAlignment="1" pivotButton="0" quotePrefix="0" xfId="0">
      <alignment horizontal="center" vertical="center"/>
    </xf>
    <xf numFmtId="0" fontId="19" fillId="2" borderId="71" applyAlignment="1" pivotButton="0" quotePrefix="0" xfId="0">
      <alignment horizontal="center" vertical="center"/>
    </xf>
    <xf numFmtId="0" fontId="19" fillId="2" borderId="72" applyAlignment="1" pivotButton="0" quotePrefix="0" xfId="0">
      <alignment horizontal="center" vertical="center"/>
    </xf>
    <xf numFmtId="175" fontId="19" fillId="2" borderId="73" applyAlignment="1" pivotButton="0" quotePrefix="0" xfId="0">
      <alignment horizontal="center" vertical="center"/>
    </xf>
    <xf numFmtId="170" fontId="19" fillId="2" borderId="34" applyAlignment="1" pivotButton="0" quotePrefix="0" xfId="0">
      <alignment horizontal="center" vertical="center"/>
    </xf>
    <xf numFmtId="170" fontId="19" fillId="2" borderId="73" applyAlignment="1" pivotButton="0" quotePrefix="0" xfId="0">
      <alignment horizontal="center" vertical="center"/>
    </xf>
    <xf numFmtId="0" fontId="19" fillId="2" borderId="34" applyAlignment="1" pivotButton="0" quotePrefix="0" xfId="0">
      <alignment horizontal="center" vertical="center"/>
    </xf>
    <xf numFmtId="0" fontId="21" fillId="2" borderId="10" applyAlignment="1" pivotButton="0" quotePrefix="0" xfId="0">
      <alignment horizontal="center" vertical="center"/>
    </xf>
    <xf numFmtId="0" fontId="21" fillId="2" borderId="58" applyAlignment="1" pivotButton="0" quotePrefix="0" xfId="0">
      <alignment horizontal="center" vertical="center"/>
    </xf>
    <xf numFmtId="2" fontId="21" fillId="2" borderId="6" applyAlignment="1" pivotButton="0" quotePrefix="0" xfId="0">
      <alignment horizontal="center" vertical="center"/>
    </xf>
    <xf numFmtId="172" fontId="21" fillId="2" borderId="10" applyAlignment="1" pivotButton="0" quotePrefix="0" xfId="0">
      <alignment horizontal="center" vertical="center"/>
    </xf>
    <xf numFmtId="172" fontId="21" fillId="2" borderId="58" applyAlignment="1" pivotButton="0" quotePrefix="0" xfId="0">
      <alignment horizontal="center" vertical="center"/>
    </xf>
    <xf numFmtId="0" fontId="22" fillId="2" borderId="10" applyAlignment="1" pivotButton="0" quotePrefix="0" xfId="0">
      <alignment horizontal="center" vertical="center"/>
    </xf>
    <xf numFmtId="0" fontId="22" fillId="2" borderId="58" applyAlignment="1" pivotButton="0" quotePrefix="0" xfId="0">
      <alignment horizontal="center" vertical="center"/>
    </xf>
    <xf numFmtId="172" fontId="21" fillId="2" borderId="29" applyAlignment="1" pivotButton="0" quotePrefix="0" xfId="0">
      <alignment horizontal="center" vertical="center"/>
    </xf>
    <xf numFmtId="49" fontId="12" fillId="2" borderId="58" applyAlignment="1" applyProtection="1" pivotButton="0" quotePrefix="0" xfId="0">
      <alignment horizontal="center" vertical="center"/>
      <protection locked="0" hidden="0"/>
    </xf>
    <xf numFmtId="49" fontId="21" fillId="2" borderId="58" applyAlignment="1" applyProtection="1" pivotButton="0" quotePrefix="0" xfId="0">
      <alignment horizontal="center" vertical="center"/>
      <protection locked="0" hidden="0"/>
    </xf>
    <xf numFmtId="0" fontId="22" fillId="2" borderId="6" applyAlignment="1" pivotButton="0" quotePrefix="0" xfId="0">
      <alignment horizontal="center" vertical="center"/>
    </xf>
    <xf numFmtId="169" fontId="21" fillId="2" borderId="29" applyAlignment="1" pivotButton="0" quotePrefix="0" xfId="0">
      <alignment horizontal="center" vertical="center"/>
    </xf>
    <xf numFmtId="0" fontId="21" fillId="2" borderId="29" applyAlignment="1" pivotButton="0" quotePrefix="0" xfId="0">
      <alignment horizontal="center" vertical="center"/>
    </xf>
    <xf numFmtId="0" fontId="11" fillId="2" borderId="60" applyAlignment="1" pivotButton="0" quotePrefix="0" xfId="0">
      <alignment horizontal="general" vertical="center"/>
    </xf>
    <xf numFmtId="0" fontId="11" fillId="2" borderId="74" applyAlignment="1" pivotButton="0" quotePrefix="0" xfId="0">
      <alignment horizontal="general" vertical="center"/>
    </xf>
    <xf numFmtId="0" fontId="12" fillId="2" borderId="73" applyAlignment="1" pivotButton="0" quotePrefix="0" xfId="0">
      <alignment horizontal="center" vertical="center"/>
    </xf>
    <xf numFmtId="170" fontId="12" fillId="2" borderId="75" applyAlignment="1" pivotButton="0" quotePrefix="0" xfId="0">
      <alignment horizontal="center" vertical="center"/>
    </xf>
    <xf numFmtId="169" fontId="4" fillId="0" borderId="49" applyAlignment="1" pivotButton="0" quotePrefix="0" xfId="0">
      <alignment horizontal="center" vertical="bottom"/>
    </xf>
    <xf numFmtId="0" fontId="15" fillId="2" borderId="10" applyAlignment="1" pivotButton="0" quotePrefix="0" xfId="0">
      <alignment horizontal="right" vertical="center" textRotation="255" shrinkToFit="1"/>
    </xf>
    <xf numFmtId="49" fontId="19" fillId="2" borderId="58" applyAlignment="1" applyProtection="1" pivotButton="0" quotePrefix="0" xfId="0">
      <alignment horizontal="center" vertical="center"/>
      <protection locked="0" hidden="0"/>
    </xf>
    <xf numFmtId="0" fontId="4" fillId="0" borderId="0" applyAlignment="1" pivotButton="0" quotePrefix="0" xfId="0">
      <alignment horizontal="center" vertical="bottom"/>
    </xf>
    <xf numFmtId="0" fontId="10" fillId="0" borderId="0" applyAlignment="1" pivotButton="0" quotePrefix="0" xfId="0">
      <alignment horizontal="general" vertical="bottom"/>
    </xf>
    <xf numFmtId="0" fontId="14" fillId="0" borderId="0" applyAlignment="1" pivotButton="0" quotePrefix="0" xfId="0">
      <alignment horizontal="right" vertical="bottom"/>
    </xf>
    <xf numFmtId="0" fontId="6" fillId="2" borderId="76" applyAlignment="1" pivotButton="0" quotePrefix="0" xfId="0">
      <alignment horizontal="center" vertical="bottom" textRotation="255"/>
    </xf>
    <xf numFmtId="0" fontId="6" fillId="2" borderId="77" applyAlignment="1" pivotButton="0" quotePrefix="0" xfId="0">
      <alignment horizontal="center" vertical="bottom" textRotation="255"/>
    </xf>
    <xf numFmtId="0" fontId="6" fillId="2" borderId="3" applyAlignment="1" pivotButton="0" quotePrefix="0" xfId="0">
      <alignment horizontal="center" vertical="center" wrapText="1"/>
    </xf>
    <xf numFmtId="0" fontId="6" fillId="2" borderId="3" applyAlignment="1" pivotButton="0" quotePrefix="0" xfId="0">
      <alignment horizontal="center" vertical="center"/>
    </xf>
    <xf numFmtId="0" fontId="4" fillId="2" borderId="3" applyAlignment="1" pivotButton="0" quotePrefix="0" xfId="0">
      <alignment horizontal="center" vertical="center"/>
    </xf>
    <xf numFmtId="0" fontId="6" fillId="2" borderId="4" applyAlignment="1" pivotButton="0" quotePrefix="0" xfId="0">
      <alignment horizontal="center" vertical="center" wrapText="1"/>
    </xf>
    <xf numFmtId="0" fontId="6" fillId="2" borderId="6" applyAlignment="1" pivotButton="0" quotePrefix="0" xfId="0">
      <alignment horizontal="center" vertical="center"/>
    </xf>
    <xf numFmtId="0" fontId="4" fillId="2" borderId="78" applyAlignment="1" pivotButton="0" quotePrefix="0" xfId="0">
      <alignment horizontal="center" vertical="bottom"/>
    </xf>
    <xf numFmtId="0" fontId="6" fillId="2" borderId="78" applyAlignment="1" pivotButton="0" quotePrefix="0" xfId="0">
      <alignment horizontal="center" vertical="bottom"/>
    </xf>
    <xf numFmtId="0" fontId="6" fillId="2" borderId="79" applyAlignment="1" pivotButton="0" quotePrefix="0" xfId="0">
      <alignment horizontal="center" vertical="bottom"/>
    </xf>
    <xf numFmtId="179" fontId="4" fillId="0" borderId="13" applyAlignment="1" pivotButton="0" quotePrefix="0" xfId="0">
      <alignment horizontal="center" vertical="center"/>
    </xf>
    <xf numFmtId="180" fontId="4" fillId="0" borderId="49" applyAlignment="1" pivotButton="0" quotePrefix="0" xfId="0">
      <alignment horizontal="center" vertical="center"/>
    </xf>
    <xf numFmtId="165" fontId="4" fillId="0" borderId="80" applyAlignment="1" pivotButton="0" quotePrefix="0" xfId="0">
      <alignment horizontal="center" vertical="bottom"/>
    </xf>
    <xf numFmtId="165" fontId="4" fillId="0" borderId="14" applyAlignment="1" pivotButton="0" quotePrefix="0" xfId="0">
      <alignment horizontal="center" vertical="bottom"/>
    </xf>
    <xf numFmtId="172" fontId="4" fillId="0" borderId="14" applyAlignment="1" pivotButton="0" quotePrefix="0" xfId="0">
      <alignment horizontal="center" vertical="bottom"/>
    </xf>
    <xf numFmtId="2" fontId="4" fillId="0" borderId="14" applyAlignment="1" pivotButton="0" quotePrefix="0" xfId="0">
      <alignment horizontal="center" vertical="bottom"/>
    </xf>
    <xf numFmtId="0" fontId="4" fillId="0" borderId="14" applyAlignment="1" pivotButton="0" quotePrefix="0" xfId="0">
      <alignment horizontal="center" vertical="bottom"/>
    </xf>
    <xf numFmtId="168" fontId="4" fillId="0" borderId="14" applyAlignment="1" pivotButton="0" quotePrefix="0" xfId="0">
      <alignment horizontal="center" vertical="bottom"/>
    </xf>
    <xf numFmtId="169" fontId="4" fillId="0" borderId="14" applyAlignment="1" pivotButton="0" quotePrefix="0" xfId="0">
      <alignment horizontal="center" vertical="bottom"/>
    </xf>
    <xf numFmtId="170" fontId="4" fillId="0" borderId="15" applyAlignment="1" pivotButton="0" quotePrefix="0" xfId="0">
      <alignment horizontal="center" vertical="bottom"/>
    </xf>
    <xf numFmtId="168" fontId="4" fillId="0" borderId="0" applyAlignment="1" pivotButton="0" quotePrefix="0" xfId="0">
      <alignment horizontal="center" vertical="bottom"/>
    </xf>
    <xf numFmtId="169" fontId="4" fillId="0" borderId="0" applyAlignment="1" pivotButton="0" quotePrefix="0" xfId="0">
      <alignment horizontal="center" vertical="bottom"/>
    </xf>
    <xf numFmtId="170" fontId="4" fillId="0" borderId="0" applyAlignment="1" pivotButton="0" quotePrefix="0" xfId="0">
      <alignment horizontal="center" vertical="bottom"/>
    </xf>
    <xf numFmtId="179" fontId="4" fillId="0" borderId="5" applyAlignment="1" pivotButton="0" quotePrefix="0" xfId="0">
      <alignment horizontal="center" vertical="center"/>
    </xf>
    <xf numFmtId="180" fontId="4" fillId="0" borderId="7" applyAlignment="1" pivotButton="0" quotePrefix="0" xfId="0">
      <alignment horizontal="center" vertical="center"/>
    </xf>
    <xf numFmtId="165" fontId="4" fillId="0" borderId="81" applyAlignment="1" pivotButton="0" quotePrefix="0" xfId="0">
      <alignment horizontal="center" vertical="bottom"/>
    </xf>
    <xf numFmtId="165" fontId="4" fillId="0" borderId="7" applyAlignment="1" pivotButton="0" quotePrefix="0" xfId="0">
      <alignment horizontal="center" vertical="bottom"/>
    </xf>
    <xf numFmtId="165" fontId="4" fillId="0" borderId="6" applyAlignment="1" pivotButton="0" quotePrefix="0" xfId="0">
      <alignment horizontal="center" vertical="bottom"/>
    </xf>
    <xf numFmtId="172" fontId="4" fillId="0" borderId="6" applyAlignment="1" pivotButton="0" quotePrefix="0" xfId="0">
      <alignment horizontal="center" vertical="bottom"/>
    </xf>
    <xf numFmtId="166" fontId="4" fillId="0" borderId="6" applyAlignment="1" pivotButton="0" quotePrefix="0" xfId="0">
      <alignment horizontal="center" vertical="bottom"/>
    </xf>
    <xf numFmtId="168" fontId="4" fillId="0" borderId="6" applyAlignment="1" pivotButton="0" quotePrefix="0" xfId="0">
      <alignment horizontal="center" vertical="bottom"/>
    </xf>
    <xf numFmtId="169" fontId="4" fillId="0" borderId="6" applyAlignment="1" pivotButton="0" quotePrefix="0" xfId="0">
      <alignment horizontal="center" vertical="bottom"/>
    </xf>
    <xf numFmtId="169" fontId="4" fillId="0" borderId="0" applyAlignment="1" pivotButton="0" quotePrefix="0" xfId="0">
      <alignment horizontal="center" vertical="center"/>
    </xf>
    <xf numFmtId="168" fontId="4" fillId="0" borderId="0" applyAlignment="1" pivotButton="0" quotePrefix="0" xfId="0">
      <alignment horizontal="general" vertical="bottom"/>
    </xf>
    <xf numFmtId="169" fontId="4" fillId="0" borderId="0" applyAlignment="1" pivotButton="0" quotePrefix="0" xfId="0">
      <alignment horizontal="general" vertical="bottom"/>
    </xf>
    <xf numFmtId="2" fontId="4" fillId="0" borderId="6" applyAlignment="1" pivotButton="0" quotePrefix="0" xfId="0">
      <alignment horizontal="center" vertical="bottom"/>
    </xf>
    <xf numFmtId="170" fontId="4" fillId="0" borderId="8" applyAlignment="1" pivotButton="0" quotePrefix="0" xfId="0">
      <alignment horizontal="center" vertical="bottom"/>
    </xf>
    <xf numFmtId="165" fontId="4" fillId="0" borderId="82" applyAlignment="1" pivotButton="0" quotePrefix="0" xfId="0">
      <alignment horizontal="center" vertical="bottom"/>
    </xf>
    <xf numFmtId="165" fontId="4" fillId="0" borderId="6" applyAlignment="1" pivotButton="0" quotePrefix="0" xfId="0">
      <alignment horizontal="center" vertical="center"/>
    </xf>
    <xf numFmtId="165" fontId="4" fillId="0" borderId="83" applyAlignment="1" pivotButton="0" quotePrefix="0" xfId="0">
      <alignment horizontal="center" vertical="bottom"/>
    </xf>
    <xf numFmtId="172" fontId="4" fillId="0" borderId="0" applyAlignment="1" pivotButton="0" quotePrefix="0" xfId="0">
      <alignment horizontal="center" vertical="center"/>
    </xf>
    <xf numFmtId="165" fontId="4" fillId="0" borderId="10" applyAlignment="1" pivotButton="0" quotePrefix="0" xfId="0">
      <alignment horizontal="center" vertical="bottom"/>
    </xf>
    <xf numFmtId="172" fontId="4" fillId="0" borderId="10" applyAlignment="1" pivotButton="0" quotePrefix="0" xfId="0">
      <alignment horizontal="center" vertical="bottom"/>
    </xf>
    <xf numFmtId="168" fontId="4" fillId="0" borderId="10" applyAlignment="1" pivotButton="0" quotePrefix="0" xfId="0">
      <alignment horizontal="center" vertical="bottom"/>
    </xf>
    <xf numFmtId="169" fontId="4" fillId="0" borderId="10" applyAlignment="1" pivotButton="0" quotePrefix="0" xfId="0">
      <alignment horizontal="center" vertical="bottom"/>
    </xf>
    <xf numFmtId="170" fontId="4" fillId="0" borderId="18" applyAlignment="1" pivotButton="0" quotePrefix="0" xfId="0">
      <alignment horizontal="center" vertical="bottom"/>
    </xf>
    <xf numFmtId="179" fontId="4" fillId="0" borderId="84" applyAlignment="1" pivotButton="0" quotePrefix="0" xfId="0">
      <alignment horizontal="center" vertical="center"/>
    </xf>
    <xf numFmtId="180" fontId="4" fillId="0" borderId="85" applyAlignment="1" pivotButton="0" quotePrefix="0" xfId="0">
      <alignment horizontal="center" vertical="center"/>
    </xf>
    <xf numFmtId="165" fontId="4" fillId="0" borderId="86" applyAlignment="1" pivotButton="0" quotePrefix="0" xfId="0">
      <alignment horizontal="center" vertical="bottom"/>
    </xf>
    <xf numFmtId="165" fontId="4" fillId="0" borderId="78" applyAlignment="1" pivotButton="0" quotePrefix="0" xfId="0">
      <alignment horizontal="center" vertical="bottom"/>
    </xf>
    <xf numFmtId="172" fontId="4" fillId="0" borderId="78" applyAlignment="1" pivotButton="0" quotePrefix="0" xfId="0">
      <alignment horizontal="center" vertical="bottom"/>
    </xf>
    <xf numFmtId="0" fontId="4" fillId="0" borderId="78" applyAlignment="1" pivotButton="0" quotePrefix="0" xfId="0">
      <alignment horizontal="center" vertical="bottom"/>
    </xf>
    <xf numFmtId="168" fontId="4" fillId="0" borderId="78" applyAlignment="1" pivotButton="0" quotePrefix="0" xfId="0">
      <alignment horizontal="center" vertical="bottom"/>
    </xf>
    <xf numFmtId="169" fontId="4" fillId="0" borderId="78" applyAlignment="1" pivotButton="0" quotePrefix="0" xfId="0">
      <alignment horizontal="center" vertical="bottom"/>
    </xf>
    <xf numFmtId="170" fontId="4" fillId="0" borderId="87" applyAlignment="1" pivotButton="0" quotePrefix="0" xfId="0">
      <alignment horizontal="center" vertical="bottom"/>
    </xf>
    <xf numFmtId="170" fontId="4" fillId="0" borderId="14" applyAlignment="1" pivotButton="0" quotePrefix="0" xfId="0">
      <alignment horizontal="center" vertical="bottom"/>
    </xf>
    <xf numFmtId="181" fontId="4" fillId="0" borderId="14" applyAlignment="1" pivotButton="0" quotePrefix="0" xfId="0">
      <alignment horizontal="center" vertical="bottom"/>
    </xf>
    <xf numFmtId="2" fontId="4" fillId="0" borderId="0" applyAlignment="1" pivotButton="0" quotePrefix="0" xfId="0">
      <alignment horizontal="center" vertical="center"/>
    </xf>
    <xf numFmtId="0" fontId="6" fillId="0" borderId="5" applyAlignment="1" pivotButton="0" quotePrefix="0" xfId="0">
      <alignment horizontal="center" vertical="center"/>
    </xf>
    <xf numFmtId="170" fontId="4" fillId="0" borderId="6" applyAlignment="1" pivotButton="0" quotePrefix="0" xfId="0">
      <alignment horizontal="center" vertical="bottom"/>
    </xf>
    <xf numFmtId="181" fontId="4" fillId="0" borderId="6" applyAlignment="1" pivotButton="0" quotePrefix="0" xfId="0">
      <alignment horizontal="center" vertical="bottom"/>
    </xf>
    <xf numFmtId="0" fontId="6" fillId="0" borderId="88" applyAlignment="1" pivotButton="0" quotePrefix="0" xfId="0">
      <alignment horizontal="center" vertical="center"/>
    </xf>
    <xf numFmtId="170" fontId="4" fillId="0" borderId="89" applyAlignment="1" pivotButton="0" quotePrefix="0" xfId="0">
      <alignment horizontal="center" vertical="bottom"/>
    </xf>
    <xf numFmtId="172" fontId="4" fillId="0" borderId="89" applyAlignment="1" pivotButton="0" quotePrefix="0" xfId="0">
      <alignment horizontal="center" vertical="bottom"/>
    </xf>
    <xf numFmtId="2" fontId="4" fillId="0" borderId="89" applyAlignment="1" pivotButton="0" quotePrefix="0" xfId="0">
      <alignment horizontal="center" vertical="bottom"/>
    </xf>
    <xf numFmtId="181" fontId="4" fillId="0" borderId="89" applyAlignment="1" pivotButton="0" quotePrefix="0" xfId="0">
      <alignment horizontal="center" vertical="bottom"/>
    </xf>
    <xf numFmtId="168" fontId="4" fillId="0" borderId="89" applyAlignment="1" pivotButton="0" quotePrefix="0" xfId="0">
      <alignment horizontal="center" vertical="bottom"/>
    </xf>
    <xf numFmtId="169" fontId="4" fillId="0" borderId="89" applyAlignment="1" pivotButton="0" quotePrefix="0" xfId="0">
      <alignment horizontal="center" vertical="bottom"/>
    </xf>
    <xf numFmtId="170" fontId="4" fillId="0" borderId="90" applyAlignment="1" pivotButton="0" quotePrefix="0" xfId="0">
      <alignment horizontal="center" vertical="bottom"/>
    </xf>
    <xf numFmtId="168" fontId="4" fillId="0" borderId="0" applyAlignment="1" pivotButton="0" quotePrefix="0" xfId="0">
      <alignment horizontal="center" vertical="center"/>
    </xf>
    <xf numFmtId="177" fontId="4" fillId="0" borderId="0" applyAlignment="1" pivotButton="0" quotePrefix="0" xfId="0">
      <alignment horizontal="left" vertical="bottom"/>
    </xf>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10" fillId="2" borderId="0" applyAlignment="1" pivotButton="0" quotePrefix="0" xfId="0">
      <alignment horizontal="general" vertical="bottom"/>
    </xf>
    <xf numFmtId="0" fontId="4" fillId="2" borderId="0" applyAlignment="1" pivotButton="0" quotePrefix="0" xfId="0">
      <alignment horizontal="center" vertical="bottom"/>
    </xf>
    <xf numFmtId="0" fontId="23" fillId="2" borderId="0" applyAlignment="1" pivotButton="0" quotePrefix="0" xfId="0">
      <alignment horizontal="right" vertical="bottom"/>
    </xf>
    <xf numFmtId="0" fontId="24" fillId="2" borderId="0" applyAlignment="1" pivotButton="0" quotePrefix="0" xfId="0">
      <alignment horizontal="general" vertical="bottom"/>
    </xf>
    <xf numFmtId="0" fontId="6" fillId="2" borderId="91" applyAlignment="1" pivotButton="0" quotePrefix="0" xfId="0">
      <alignment horizontal="center" vertical="bottom" textRotation="255"/>
    </xf>
    <xf numFmtId="0" fontId="6" fillId="2" borderId="92" applyAlignment="1" pivotButton="0" quotePrefix="0" xfId="0">
      <alignment horizontal="center" vertical="bottom" textRotation="255"/>
    </xf>
    <xf numFmtId="0" fontId="6" fillId="2" borderId="93" applyAlignment="1" pivotButton="0" quotePrefix="0" xfId="0">
      <alignment horizontal="center" vertical="center"/>
    </xf>
    <xf numFmtId="0" fontId="4" fillId="2" borderId="94" applyAlignment="1" pivotButton="0" quotePrefix="0" xfId="0">
      <alignment horizontal="center" vertical="center"/>
    </xf>
    <xf numFmtId="0" fontId="6" fillId="2" borderId="94" applyAlignment="1" pivotButton="0" quotePrefix="0" xfId="0">
      <alignment horizontal="center" vertical="center"/>
    </xf>
    <xf numFmtId="0" fontId="4" fillId="2" borderId="93" applyAlignment="1" pivotButton="0" quotePrefix="0" xfId="0">
      <alignment horizontal="center" vertical="center"/>
    </xf>
    <xf numFmtId="0" fontId="4" fillId="2" borderId="95" applyAlignment="1" pivotButton="0" quotePrefix="0" xfId="0">
      <alignment horizontal="center" vertical="center"/>
    </xf>
    <xf numFmtId="0" fontId="4" fillId="2" borderId="95" applyAlignment="1" pivotButton="0" quotePrefix="0" xfId="0">
      <alignment horizontal="center" vertical="bottom"/>
    </xf>
    <xf numFmtId="0" fontId="11" fillId="2" borderId="96" applyAlignment="1" pivotButton="0" quotePrefix="0" xfId="0">
      <alignment horizontal="center" vertical="center"/>
    </xf>
    <xf numFmtId="0" fontId="6" fillId="2" borderId="33" applyAlignment="1" pivotButton="0" quotePrefix="0" xfId="0">
      <alignment horizontal="center" vertical="center"/>
    </xf>
    <xf numFmtId="0" fontId="6" fillId="2" borderId="97" applyAlignment="1" pivotButton="0" quotePrefix="0" xfId="0">
      <alignment horizontal="center" vertical="center"/>
    </xf>
    <xf numFmtId="0" fontId="11" fillId="2" borderId="33" applyAlignment="1" pivotButton="0" quotePrefix="0" xfId="0">
      <alignment horizontal="center" vertical="center"/>
    </xf>
    <xf numFmtId="0" fontId="11" fillId="2" borderId="98" applyAlignment="1" pivotButton="0" quotePrefix="0" xfId="0">
      <alignment horizontal="center" vertical="center"/>
    </xf>
    <xf numFmtId="0" fontId="11" fillId="2" borderId="99" applyAlignment="1" pivotButton="0" quotePrefix="0" xfId="0">
      <alignment horizontal="center" vertical="center" shrinkToFit="1"/>
    </xf>
    <xf numFmtId="0" fontId="4" fillId="2" borderId="49" applyAlignment="1" pivotButton="0" quotePrefix="0" xfId="0">
      <alignment horizontal="center" vertical="center"/>
    </xf>
    <xf numFmtId="0" fontId="4" fillId="2" borderId="100" applyAlignment="1" pivotButton="0" quotePrefix="0" xfId="0">
      <alignment horizontal="center" vertical="center"/>
    </xf>
    <xf numFmtId="0" fontId="6" fillId="2" borderId="49" applyAlignment="1" pivotButton="0" quotePrefix="0" xfId="0">
      <alignment horizontal="center" vertical="center"/>
    </xf>
    <xf numFmtId="0" fontId="6" fillId="2" borderId="101" applyAlignment="1" pivotButton="0" quotePrefix="0" xfId="0">
      <alignment horizontal="center" vertical="center"/>
    </xf>
    <xf numFmtId="0" fontId="6" fillId="2" borderId="101" applyAlignment="1" pivotButton="0" quotePrefix="0" xfId="0">
      <alignment horizontal="center" vertical="bottom"/>
    </xf>
    <xf numFmtId="0" fontId="6" fillId="2" borderId="102" applyAlignment="1" pivotButton="0" quotePrefix="0" xfId="0">
      <alignment horizontal="center" vertical="center"/>
    </xf>
    <xf numFmtId="0" fontId="6" fillId="2" borderId="78" applyAlignment="1" pivotButton="0" quotePrefix="0" xfId="0">
      <alignment horizontal="center" vertical="center"/>
    </xf>
    <xf numFmtId="0" fontId="4" fillId="2" borderId="10" applyAlignment="1" pivotButton="0" quotePrefix="0" xfId="0">
      <alignment horizontal="center" vertical="center"/>
    </xf>
    <xf numFmtId="0" fontId="6" fillId="2" borderId="85" applyAlignment="1" pivotButton="0" quotePrefix="0" xfId="0">
      <alignment horizontal="center" vertical="center"/>
    </xf>
    <xf numFmtId="0" fontId="6" fillId="2" borderId="86" applyAlignment="1" pivotButton="0" quotePrefix="0" xfId="0">
      <alignment horizontal="center" vertical="center"/>
    </xf>
    <xf numFmtId="0" fontId="6" fillId="2" borderId="103" applyAlignment="1" pivotButton="0" quotePrefix="0" xfId="0">
      <alignment horizontal="center" vertical="center"/>
    </xf>
    <xf numFmtId="0" fontId="4" fillId="2" borderId="78" applyAlignment="1" pivotButton="0" quotePrefix="0" xfId="0">
      <alignment horizontal="center" vertical="center" wrapText="1"/>
    </xf>
    <xf numFmtId="0" fontId="4" fillId="2" borderId="17" applyAlignment="1" pivotButton="0" quotePrefix="0" xfId="0">
      <alignment horizontal="center" vertical="center"/>
    </xf>
    <xf numFmtId="0" fontId="4" fillId="2" borderId="104" applyAlignment="1" pivotButton="0" quotePrefix="0" xfId="0">
      <alignment horizontal="center" vertical="center"/>
    </xf>
    <xf numFmtId="0" fontId="4" fillId="2" borderId="105" applyAlignment="1" pivotButton="0" quotePrefix="0" xfId="0">
      <alignment horizontal="center" vertical="center"/>
    </xf>
    <xf numFmtId="0" fontId="6" fillId="2" borderId="106" applyAlignment="1" pivotButton="0" quotePrefix="0" xfId="0">
      <alignment horizontal="center" vertical="center"/>
    </xf>
    <xf numFmtId="0" fontId="6" fillId="2" borderId="107" applyAlignment="1" pivotButton="0" quotePrefix="0" xfId="0">
      <alignment horizontal="center" vertical="center"/>
    </xf>
    <xf numFmtId="0" fontId="6" fillId="2" borderId="108" applyAlignment="1" pivotButton="0" quotePrefix="0" xfId="0">
      <alignment horizontal="center" vertical="center"/>
    </xf>
    <xf numFmtId="0" fontId="6" fillId="2" borderId="109" applyAlignment="1" pivotButton="0" quotePrefix="0" xfId="0">
      <alignment horizontal="center" vertical="center"/>
    </xf>
    <xf numFmtId="0" fontId="6" fillId="2" borderId="110" applyAlignment="1" pivotButton="0" quotePrefix="0" xfId="0">
      <alignment horizontal="center" vertical="center"/>
    </xf>
    <xf numFmtId="179" fontId="4" fillId="0" borderId="13" applyAlignment="1" pivotButton="0" quotePrefix="0" xfId="0">
      <alignment horizontal="center" vertical="bottom"/>
    </xf>
    <xf numFmtId="180" fontId="4" fillId="0" borderId="49" applyAlignment="1" pivotButton="0" quotePrefix="0" xfId="0">
      <alignment horizontal="center" vertical="bottom"/>
    </xf>
    <xf numFmtId="169" fontId="4" fillId="0" borderId="111" applyAlignment="1" pivotButton="0" quotePrefix="0" xfId="0">
      <alignment horizontal="center" vertical="center"/>
    </xf>
    <xf numFmtId="169" fontId="4" fillId="0" borderId="112" applyAlignment="1" pivotButton="0" quotePrefix="0" xfId="0">
      <alignment horizontal="center" vertical="center"/>
    </xf>
    <xf numFmtId="170" fontId="4" fillId="0" borderId="81" applyAlignment="1" pivotButton="0" quotePrefix="0" xfId="0">
      <alignment horizontal="center" vertical="center"/>
    </xf>
    <xf numFmtId="170" fontId="4" fillId="0" borderId="113" applyAlignment="1" pivotButton="0" quotePrefix="0" xfId="0">
      <alignment horizontal="center" vertical="center"/>
    </xf>
    <xf numFmtId="169" fontId="4" fillId="0" borderId="114" applyAlignment="1" pivotButton="0" quotePrefix="0" xfId="0">
      <alignment horizontal="center" vertical="center"/>
    </xf>
    <xf numFmtId="168" fontId="4" fillId="0" borderId="115" applyAlignment="1" pivotButton="0" quotePrefix="0" xfId="0">
      <alignment horizontal="center" vertical="center"/>
    </xf>
    <xf numFmtId="170" fontId="4" fillId="0" borderId="49" applyAlignment="1" pivotButton="0" quotePrefix="0" xfId="0">
      <alignment horizontal="center" vertical="bottom" shrinkToFit="1"/>
    </xf>
    <xf numFmtId="168" fontId="4" fillId="0" borderId="100" applyAlignment="1" pivotButton="0" quotePrefix="0" xfId="0">
      <alignment horizontal="center" vertical="bottom" shrinkToFit="1"/>
    </xf>
    <xf numFmtId="168" fontId="4" fillId="0" borderId="81" applyAlignment="1" pivotButton="0" quotePrefix="0" xfId="0">
      <alignment horizontal="center" vertical="bottom"/>
    </xf>
    <xf numFmtId="169" fontId="4" fillId="0" borderId="102" applyAlignment="1" pivotButton="0" quotePrefix="0" xfId="0">
      <alignment horizontal="center" vertical="bottom"/>
    </xf>
    <xf numFmtId="169" fontId="4" fillId="0" borderId="105" applyAlignment="1" pivotButton="0" quotePrefix="0" xfId="0">
      <alignment horizontal="center" vertical="center"/>
    </xf>
    <xf numFmtId="170" fontId="4" fillId="0" borderId="82" applyAlignment="1" pivotButton="0" quotePrefix="0" xfId="0">
      <alignment horizontal="center" vertical="center"/>
    </xf>
    <xf numFmtId="170" fontId="4" fillId="0" borderId="43" applyAlignment="1" pivotButton="0" quotePrefix="0" xfId="0">
      <alignment horizontal="center" vertical="center"/>
    </xf>
    <xf numFmtId="170" fontId="4" fillId="0" borderId="116" applyAlignment="1" pivotButton="0" quotePrefix="0" xfId="0">
      <alignment horizontal="center" vertical="center"/>
    </xf>
    <xf numFmtId="168" fontId="4" fillId="0" borderId="82" applyAlignment="1" pivotButton="0" quotePrefix="0" xfId="0">
      <alignment horizontal="center" vertical="bottom"/>
    </xf>
    <xf numFmtId="169" fontId="4" fillId="0" borderId="117" applyAlignment="1" pivotButton="0" quotePrefix="0" xfId="0">
      <alignment horizontal="center" vertical="bottom"/>
    </xf>
    <xf numFmtId="169" fontId="4" fillId="0" borderId="6" applyAlignment="1" pivotButton="0" quotePrefix="0" xfId="0">
      <alignment horizontal="center" vertical="center"/>
    </xf>
    <xf numFmtId="169" fontId="4" fillId="0" borderId="36" applyAlignment="1" pivotButton="0" quotePrefix="0" xfId="0">
      <alignment horizontal="center" vertical="center"/>
    </xf>
    <xf numFmtId="170" fontId="4" fillId="0" borderId="116" applyAlignment="1" pivotButton="0" quotePrefix="0" xfId="0">
      <alignment horizontal="center" vertical="center" shrinkToFit="1"/>
    </xf>
    <xf numFmtId="169" fontId="4" fillId="0" borderId="82" applyAlignment="1" pivotButton="0" quotePrefix="0" xfId="0">
      <alignment horizontal="center" vertical="center"/>
    </xf>
    <xf numFmtId="169" fontId="4" fillId="0" borderId="7" applyAlignment="1" pivotButton="0" quotePrefix="0" xfId="0">
      <alignment horizontal="center" vertical="bottom"/>
    </xf>
    <xf numFmtId="169" fontId="4" fillId="0" borderId="43" applyAlignment="1" pivotButton="0" quotePrefix="0" xfId="0">
      <alignment horizontal="center" vertical="center"/>
    </xf>
    <xf numFmtId="169" fontId="4" fillId="0" borderId="7" applyAlignment="1" pivotButton="0" quotePrefix="0" xfId="0">
      <alignment horizontal="center" vertical="center"/>
    </xf>
    <xf numFmtId="169" fontId="4" fillId="0" borderId="116" applyAlignment="1" pivotButton="0" quotePrefix="0" xfId="0">
      <alignment horizontal="center" vertical="center"/>
    </xf>
    <xf numFmtId="170" fontId="4" fillId="0" borderId="44" applyAlignment="1" pivotButton="0" quotePrefix="0" xfId="0">
      <alignment horizontal="center" vertical="center"/>
    </xf>
    <xf numFmtId="170" fontId="4" fillId="0" borderId="6" applyAlignment="1" pivotButton="0" quotePrefix="0" xfId="0">
      <alignment horizontal="center" vertical="center"/>
    </xf>
    <xf numFmtId="169" fontId="4" fillId="0" borderId="115" applyAlignment="1" pivotButton="0" quotePrefix="0" xfId="0">
      <alignment horizontal="center" vertical="center"/>
    </xf>
    <xf numFmtId="170" fontId="4" fillId="0" borderId="68" applyAlignment="1" pivotButton="0" quotePrefix="0" xfId="0">
      <alignment horizontal="center" vertical="center"/>
    </xf>
    <xf numFmtId="172" fontId="4" fillId="0" borderId="7" applyAlignment="1" pivotButton="0" quotePrefix="0" xfId="0">
      <alignment horizontal="center" vertical="bottom"/>
    </xf>
    <xf numFmtId="169" fontId="4" fillId="0" borderId="43" applyAlignment="1" pivotButton="0" quotePrefix="0" xfId="0">
      <alignment horizontal="center" vertical="bottom"/>
    </xf>
    <xf numFmtId="170" fontId="4" fillId="0" borderId="118" applyAlignment="1" pivotButton="0" quotePrefix="0" xfId="0">
      <alignment horizontal="center" vertical="bottom"/>
    </xf>
    <xf numFmtId="169" fontId="4" fillId="0" borderId="119" applyAlignment="1" pivotButton="0" quotePrefix="0" xfId="0">
      <alignment horizontal="center" vertical="center"/>
    </xf>
    <xf numFmtId="169" fontId="4" fillId="0" borderId="61" applyAlignment="1" pivotButton="0" quotePrefix="0" xfId="0">
      <alignment horizontal="center" vertical="center"/>
    </xf>
    <xf numFmtId="169" fontId="4" fillId="0" borderId="50" applyAlignment="1" pivotButton="0" quotePrefix="0" xfId="0">
      <alignment horizontal="center" vertical="center"/>
    </xf>
    <xf numFmtId="169" fontId="4" fillId="0" borderId="120" applyAlignment="1" pivotButton="0" quotePrefix="0" xfId="0">
      <alignment horizontal="center" vertical="center"/>
    </xf>
    <xf numFmtId="170" fontId="4" fillId="0" borderId="82" applyAlignment="1" pivotButton="0" quotePrefix="0" xfId="0">
      <alignment horizontal="center" vertical="center" shrinkToFit="1"/>
    </xf>
    <xf numFmtId="170" fontId="4" fillId="0" borderId="6" applyAlignment="1" pivotButton="0" quotePrefix="0" xfId="0">
      <alignment horizontal="center" vertical="center" shrinkToFit="1"/>
    </xf>
    <xf numFmtId="172" fontId="4" fillId="0" borderId="82" applyAlignment="1" pivotButton="0" quotePrefix="0" xfId="0">
      <alignment horizontal="center" vertical="bottom"/>
    </xf>
    <xf numFmtId="172" fontId="4" fillId="0" borderId="120" applyAlignment="1" pivotButton="0" quotePrefix="0" xfId="0">
      <alignment horizontal="center" vertical="bottom"/>
    </xf>
    <xf numFmtId="170" fontId="4" fillId="0" borderId="43" applyAlignment="1" pivotButton="0" quotePrefix="0" xfId="0">
      <alignment horizontal="center" vertical="bottom"/>
    </xf>
    <xf numFmtId="170" fontId="4" fillId="0" borderId="44" applyAlignment="1" pivotButton="0" quotePrefix="0" xfId="0">
      <alignment horizontal="center" vertical="bottom"/>
    </xf>
    <xf numFmtId="168" fontId="4" fillId="0" borderId="105" applyAlignment="1" pivotButton="0" quotePrefix="0" xfId="0">
      <alignment horizontal="center" vertical="bottom"/>
    </xf>
    <xf numFmtId="169" fontId="4" fillId="0" borderId="121" applyAlignment="1" pivotButton="0" quotePrefix="0" xfId="0">
      <alignment horizontal="center" vertical="bottom"/>
    </xf>
    <xf numFmtId="170" fontId="4" fillId="0" borderId="105" applyAlignment="1" pivotButton="0" quotePrefix="0" xfId="0">
      <alignment horizontal="center" vertical="center"/>
    </xf>
    <xf numFmtId="170" fontId="4" fillId="0" borderId="122" applyAlignment="1" pivotButton="0" quotePrefix="0" xfId="0">
      <alignment horizontal="center" vertical="center"/>
    </xf>
    <xf numFmtId="169" fontId="4" fillId="0" borderId="44" applyAlignment="1" pivotButton="0" quotePrefix="0" xfId="0">
      <alignment horizontal="center" vertical="center"/>
    </xf>
    <xf numFmtId="169" fontId="4" fillId="0" borderId="44" applyAlignment="1" pivotButton="0" quotePrefix="0" xfId="0">
      <alignment horizontal="center" vertical="bottom"/>
    </xf>
    <xf numFmtId="179" fontId="4" fillId="0" borderId="84" applyAlignment="1" pivotButton="0" quotePrefix="0" xfId="0">
      <alignment horizontal="center" vertical="bottom"/>
    </xf>
    <xf numFmtId="180" fontId="4" fillId="0" borderId="85" applyAlignment="1" pivotButton="0" quotePrefix="0" xfId="0">
      <alignment horizontal="center" vertical="bottom"/>
    </xf>
    <xf numFmtId="172" fontId="4" fillId="0" borderId="86" applyAlignment="1" pivotButton="0" quotePrefix="0" xfId="0">
      <alignment horizontal="center" vertical="bottom"/>
    </xf>
    <xf numFmtId="172" fontId="4" fillId="0" borderId="85" applyAlignment="1" pivotButton="0" quotePrefix="0" xfId="0">
      <alignment horizontal="center" vertical="bottom"/>
    </xf>
    <xf numFmtId="170" fontId="4" fillId="0" borderId="86" applyAlignment="1" pivotButton="0" quotePrefix="0" xfId="0">
      <alignment horizontal="center" vertical="center"/>
    </xf>
    <xf numFmtId="170" fontId="4" fillId="0" borderId="107" applyAlignment="1" pivotButton="0" quotePrefix="0" xfId="0">
      <alignment horizontal="center" vertical="center"/>
    </xf>
    <xf numFmtId="170" fontId="4" fillId="0" borderId="103" applyAlignment="1" pivotButton="0" quotePrefix="0" xfId="0">
      <alignment horizontal="center" vertical="center" shrinkToFit="1"/>
    </xf>
    <xf numFmtId="169" fontId="4" fillId="0" borderId="123" applyAlignment="1" pivotButton="0" quotePrefix="0" xfId="0">
      <alignment horizontal="center" vertical="bottom"/>
    </xf>
    <xf numFmtId="168" fontId="4" fillId="0" borderId="103" applyAlignment="1" pivotButton="0" quotePrefix="0" xfId="0">
      <alignment horizontal="center" vertical="bottom"/>
    </xf>
    <xf numFmtId="170" fontId="4" fillId="0" borderId="123" applyAlignment="1" pivotButton="0" quotePrefix="0" xfId="0">
      <alignment horizontal="center" vertical="bottom"/>
    </xf>
    <xf numFmtId="168" fontId="4" fillId="0" borderId="86" applyAlignment="1" pivotButton="0" quotePrefix="0" xfId="0">
      <alignment horizontal="center" vertical="bottom"/>
    </xf>
    <xf numFmtId="169" fontId="4" fillId="0" borderId="106" applyAlignment="1" pivotButton="0" quotePrefix="0" xfId="0">
      <alignment horizontal="center" vertical="bottom"/>
    </xf>
    <xf numFmtId="0" fontId="6" fillId="0" borderId="13" applyAlignment="1" pivotButton="0" quotePrefix="0" xfId="0">
      <alignment horizontal="center" vertical="bottom"/>
    </xf>
    <xf numFmtId="172" fontId="4" fillId="0" borderId="115" applyAlignment="1" pivotButton="0" quotePrefix="0" xfId="0">
      <alignment horizontal="center" vertical="bottom"/>
    </xf>
    <xf numFmtId="170" fontId="4" fillId="0" borderId="81" applyAlignment="1" pivotButton="0" quotePrefix="0" xfId="0">
      <alignment horizontal="center" vertical="bottom"/>
    </xf>
    <xf numFmtId="170" fontId="4" fillId="0" borderId="115" applyAlignment="1" pivotButton="0" quotePrefix="0" xfId="0">
      <alignment horizontal="center" vertical="bottom"/>
    </xf>
    <xf numFmtId="169" fontId="4" fillId="0" borderId="81" applyAlignment="1" pivotButton="0" quotePrefix="0" xfId="0">
      <alignment horizontal="center" vertical="bottom"/>
    </xf>
    <xf numFmtId="168" fontId="4" fillId="0" borderId="115" applyAlignment="1" pivotButton="0" quotePrefix="0" xfId="0">
      <alignment horizontal="center" vertical="bottom"/>
    </xf>
    <xf numFmtId="168" fontId="4" fillId="0" borderId="100" applyAlignment="1" pivotButton="0" quotePrefix="0" xfId="0">
      <alignment horizontal="center" vertical="bottom"/>
    </xf>
    <xf numFmtId="0" fontId="6" fillId="0" borderId="5" applyAlignment="1" pivotButton="0" quotePrefix="0" xfId="0">
      <alignment horizontal="center" vertical="bottom"/>
    </xf>
    <xf numFmtId="172" fontId="4" fillId="0" borderId="116" applyAlignment="1" pivotButton="0" quotePrefix="0" xfId="0">
      <alignment horizontal="center" vertical="bottom"/>
    </xf>
    <xf numFmtId="170" fontId="4" fillId="0" borderId="82" applyAlignment="1" pivotButton="0" quotePrefix="0" xfId="0">
      <alignment horizontal="center" vertical="bottom"/>
    </xf>
    <xf numFmtId="170" fontId="4" fillId="0" borderId="116" applyAlignment="1" pivotButton="0" quotePrefix="0" xfId="0">
      <alignment horizontal="center" vertical="bottom"/>
    </xf>
    <xf numFmtId="169" fontId="4" fillId="0" borderId="82" applyAlignment="1" pivotButton="0" quotePrefix="0" xfId="0">
      <alignment horizontal="center" vertical="bottom"/>
    </xf>
    <xf numFmtId="168" fontId="4" fillId="0" borderId="116" applyAlignment="1" pivotButton="0" quotePrefix="0" xfId="0">
      <alignment horizontal="center" vertical="bottom"/>
    </xf>
    <xf numFmtId="169" fontId="4" fillId="0" borderId="118" applyAlignment="1" pivotButton="0" quotePrefix="0" xfId="0">
      <alignment horizontal="center" vertical="bottom"/>
    </xf>
    <xf numFmtId="0" fontId="6" fillId="0" borderId="88" applyAlignment="1" pivotButton="0" quotePrefix="0" xfId="0">
      <alignment horizontal="center" vertical="bottom"/>
    </xf>
    <xf numFmtId="172" fontId="4" fillId="0" borderId="124" applyAlignment="1" pivotButton="0" quotePrefix="0" xfId="0">
      <alignment horizontal="center" vertical="bottom"/>
    </xf>
    <xf numFmtId="170" fontId="4" fillId="0" borderId="125" applyAlignment="1" pivotButton="0" quotePrefix="0" xfId="0">
      <alignment horizontal="center" vertical="bottom"/>
    </xf>
    <xf numFmtId="170" fontId="4" fillId="0" borderId="124" applyAlignment="1" pivotButton="0" quotePrefix="0" xfId="0">
      <alignment horizontal="center" vertical="bottom"/>
    </xf>
    <xf numFmtId="169" fontId="4" fillId="0" borderId="125" applyAlignment="1" pivotButton="0" quotePrefix="0" xfId="0">
      <alignment horizontal="center" vertical="bottom"/>
    </xf>
    <xf numFmtId="168" fontId="4" fillId="0" borderId="124" applyAlignment="1" pivotButton="0" quotePrefix="0" xfId="0">
      <alignment horizontal="center" vertical="bottom"/>
    </xf>
    <xf numFmtId="168" fontId="4" fillId="0" borderId="126" applyAlignment="1" pivotButton="0" quotePrefix="0" xfId="0">
      <alignment horizontal="center" vertical="bottom"/>
    </xf>
    <xf numFmtId="169" fontId="4" fillId="0" borderId="127" applyAlignment="1" pivotButton="0" quotePrefix="0" xfId="0">
      <alignment horizontal="center" vertical="bottom"/>
    </xf>
    <xf numFmtId="0" fontId="6" fillId="2" borderId="128" applyAlignment="1" pivotButton="0" quotePrefix="0" xfId="0">
      <alignment horizontal="center" vertical="bottom" textRotation="255"/>
    </xf>
    <xf numFmtId="0" fontId="6" fillId="2" borderId="96" applyAlignment="1" pivotButton="0" quotePrefix="0" xfId="0">
      <alignment horizontal="center" vertical="center"/>
    </xf>
    <xf numFmtId="0" fontId="6" fillId="2" borderId="99" applyAlignment="1" pivotButton="0" quotePrefix="0" xfId="0">
      <alignment horizontal="center" vertical="center"/>
    </xf>
    <xf numFmtId="0" fontId="4" fillId="2" borderId="102" applyAlignment="1" pivotButton="0" quotePrefix="0" xfId="0">
      <alignment horizontal="center" vertical="center"/>
    </xf>
    <xf numFmtId="0" fontId="6" fillId="2" borderId="79" applyAlignment="1" pivotButton="0" quotePrefix="0" xfId="0">
      <alignment horizontal="center" vertical="center"/>
    </xf>
    <xf numFmtId="172" fontId="4" fillId="0" borderId="80" applyAlignment="1" pivotButton="0" quotePrefix="0" xfId="0">
      <alignment horizontal="center" vertical="bottom"/>
    </xf>
    <xf numFmtId="170" fontId="4" fillId="0" borderId="43" applyAlignment="1" pivotButton="0" quotePrefix="0" xfId="0">
      <alignment horizontal="center" vertical="center" shrinkToFit="1"/>
    </xf>
    <xf numFmtId="172" fontId="4" fillId="0" borderId="43" applyAlignment="1" pivotButton="0" quotePrefix="0" xfId="0">
      <alignment horizontal="center" vertical="bottom"/>
    </xf>
    <xf numFmtId="172" fontId="4" fillId="0" borderId="129" applyAlignment="1" pivotButton="0" quotePrefix="0" xfId="0">
      <alignment horizontal="center" vertical="bottom"/>
    </xf>
    <xf numFmtId="0" fontId="4" fillId="2" borderId="0" applyAlignment="1" pivotButton="0" quotePrefix="0" xfId="0">
      <alignment horizontal="center" vertical="bottom" shrinkToFit="1"/>
    </xf>
    <xf numFmtId="169" fontId="4" fillId="0" borderId="0" applyAlignment="1" pivotButton="0" quotePrefix="0" xfId="0">
      <alignment horizontal="center" vertical="bottom" shrinkToFit="1"/>
    </xf>
    <xf numFmtId="179" fontId="4" fillId="0" borderId="5" applyAlignment="1" pivotButton="0" quotePrefix="0" xfId="0">
      <alignment horizontal="center" vertical="bottom"/>
    </xf>
    <xf numFmtId="172" fontId="6" fillId="0" borderId="82" applyAlignment="1" pivotButton="0" quotePrefix="0" xfId="0">
      <alignment horizontal="center" vertical="bottom"/>
    </xf>
    <xf numFmtId="172" fontId="6" fillId="0" borderId="6" applyAlignment="1" pivotButton="0" quotePrefix="0" xfId="0">
      <alignment horizontal="center" vertical="bottom"/>
    </xf>
    <xf numFmtId="170" fontId="6" fillId="0" borderId="82" applyAlignment="1" pivotButton="0" quotePrefix="0" xfId="0">
      <alignment horizontal="center" vertical="center" shrinkToFit="1"/>
    </xf>
    <xf numFmtId="170" fontId="6" fillId="0" borderId="43" applyAlignment="1" pivotButton="0" quotePrefix="0" xfId="0">
      <alignment horizontal="center" vertical="center" shrinkToFit="1"/>
    </xf>
    <xf numFmtId="172" fontId="6" fillId="0" borderId="43" applyAlignment="1" pivotButton="0" quotePrefix="0" xfId="0">
      <alignment horizontal="center" vertical="bottom"/>
    </xf>
    <xf numFmtId="172" fontId="6" fillId="0" borderId="129" applyAlignment="1" pivotButton="0" quotePrefix="0" xfId="0">
      <alignment horizontal="center" vertical="bottom"/>
    </xf>
    <xf numFmtId="172" fontId="6" fillId="0" borderId="86" applyAlignment="1" pivotButton="0" quotePrefix="0" xfId="0">
      <alignment horizontal="center" vertical="bottom"/>
    </xf>
    <xf numFmtId="172" fontId="6" fillId="0" borderId="78" applyAlignment="1" pivotButton="0" quotePrefix="0" xfId="0">
      <alignment horizontal="center" vertical="bottom"/>
    </xf>
    <xf numFmtId="170" fontId="6" fillId="0" borderId="86" applyAlignment="1" pivotButton="0" quotePrefix="0" xfId="0">
      <alignment horizontal="center" vertical="center" shrinkToFit="1"/>
    </xf>
    <xf numFmtId="170" fontId="6" fillId="0" borderId="123" applyAlignment="1" pivotButton="0" quotePrefix="0" xfId="0">
      <alignment horizontal="center" vertical="center" shrinkToFit="1"/>
    </xf>
    <xf numFmtId="172" fontId="6" fillId="0" borderId="123" applyAlignment="1" pivotButton="0" quotePrefix="0" xfId="0">
      <alignment horizontal="center" vertical="bottom"/>
    </xf>
    <xf numFmtId="172" fontId="6" fillId="0" borderId="130" applyAlignment="1" pivotButton="0" quotePrefix="0" xfId="0">
      <alignment horizontal="center" vertical="bottom"/>
    </xf>
    <xf numFmtId="0" fontId="6" fillId="0" borderId="131" applyAlignment="1" pivotButton="0" quotePrefix="0" xfId="0">
      <alignment horizontal="center" vertical="bottom"/>
    </xf>
    <xf numFmtId="172" fontId="6" fillId="0" borderId="14" applyAlignment="1" pivotButton="0" quotePrefix="0" xfId="0">
      <alignment horizontal="center" vertical="bottom"/>
    </xf>
    <xf numFmtId="172" fontId="6" fillId="0" borderId="49" applyAlignment="1" pivotButton="0" quotePrefix="0" xfId="0">
      <alignment horizontal="center" vertical="bottom"/>
    </xf>
    <xf numFmtId="172" fontId="6" fillId="0" borderId="81" applyAlignment="1" pivotButton="0" quotePrefix="0" xfId="0">
      <alignment horizontal="center" vertical="bottom"/>
    </xf>
    <xf numFmtId="172" fontId="6" fillId="0" borderId="15" applyAlignment="1" pivotButton="0" quotePrefix="0" xfId="0">
      <alignment horizontal="center" vertical="bottom"/>
    </xf>
    <xf numFmtId="0" fontId="6" fillId="0" borderId="132" applyAlignment="1" pivotButton="0" quotePrefix="0" xfId="0">
      <alignment horizontal="center" vertical="bottom"/>
    </xf>
    <xf numFmtId="172" fontId="6" fillId="0" borderId="7" applyAlignment="1" pivotButton="0" quotePrefix="0" xfId="0">
      <alignment horizontal="center" vertical="bottom"/>
    </xf>
    <xf numFmtId="172" fontId="6" fillId="0" borderId="8" applyAlignment="1" pivotButton="0" quotePrefix="0" xfId="0">
      <alignment horizontal="center" vertical="bottom"/>
    </xf>
    <xf numFmtId="0" fontId="6" fillId="0" borderId="133" applyAlignment="1" pivotButton="0" quotePrefix="0" xfId="0">
      <alignment horizontal="center" vertical="bottom"/>
    </xf>
    <xf numFmtId="172" fontId="6" fillId="0" borderId="89" applyAlignment="1" pivotButton="0" quotePrefix="0" xfId="0">
      <alignment horizontal="center" vertical="bottom"/>
    </xf>
    <xf numFmtId="172" fontId="6" fillId="0" borderId="11" applyAlignment="1" pivotButton="0" quotePrefix="0" xfId="0">
      <alignment horizontal="center" vertical="bottom"/>
    </xf>
    <xf numFmtId="172" fontId="6" fillId="0" borderId="125" applyAlignment="1" pivotButton="0" quotePrefix="0" xfId="0">
      <alignment horizontal="center" vertical="bottom"/>
    </xf>
    <xf numFmtId="172" fontId="6" fillId="0" borderId="90" applyAlignment="1" pivotButton="0" quotePrefix="0" xfId="0">
      <alignment horizontal="center" vertical="bottom"/>
    </xf>
    <xf numFmtId="0" fontId="25" fillId="0" borderId="0" applyAlignment="1" pivotButton="0" quotePrefix="0" xfId="0">
      <alignment horizontal="center" vertical="center"/>
    </xf>
    <xf numFmtId="182" fontId="13" fillId="0" borderId="0" applyAlignment="1" pivotButton="0" quotePrefix="0" xfId="0">
      <alignment horizontal="distributed" vertical="center"/>
    </xf>
    <xf numFmtId="0" fontId="6" fillId="2" borderId="7" applyAlignment="1" pivotButton="0" quotePrefix="0" xfId="0">
      <alignment horizontal="general" vertical="center"/>
    </xf>
    <xf numFmtId="0" fontId="4" fillId="2" borderId="120" applyAlignment="1" pivotButton="0" quotePrefix="0" xfId="0">
      <alignment horizontal="general" vertical="center"/>
    </xf>
    <xf numFmtId="0" fontId="4" fillId="2" borderId="120" applyAlignment="1" pivotButton="0" quotePrefix="0" xfId="0">
      <alignment horizontal="right" vertical="center"/>
    </xf>
    <xf numFmtId="172" fontId="4" fillId="0" borderId="6" applyAlignment="1" pivotButton="0" quotePrefix="0" xfId="0">
      <alignment horizontal="right" vertical="center"/>
    </xf>
    <xf numFmtId="172" fontId="4" fillId="0" borderId="0" applyAlignment="1" pivotButton="0" quotePrefix="0" xfId="0">
      <alignment horizontal="general" vertical="center"/>
    </xf>
    <xf numFmtId="177" fontId="4" fillId="0" borderId="0" applyAlignment="1" pivotButton="0" quotePrefix="0" xfId="0">
      <alignment horizontal="general" vertical="center"/>
    </xf>
    <xf numFmtId="0" fontId="12" fillId="2" borderId="120" applyAlignment="1" pivotButton="0" quotePrefix="0" xfId="0">
      <alignment horizontal="general" vertical="center"/>
    </xf>
    <xf numFmtId="0" fontId="4" fillId="2" borderId="7" applyAlignment="1" pivotButton="0" quotePrefix="0" xfId="0">
      <alignment horizontal="left" vertical="center"/>
    </xf>
    <xf numFmtId="0" fontId="6" fillId="2" borderId="7" applyAlignment="1" pivotButton="0" quotePrefix="0" xfId="0">
      <alignment horizontal="left" vertical="center"/>
    </xf>
    <xf numFmtId="0" fontId="6" fillId="0" borderId="33" applyAlignment="1" pivotButton="0" quotePrefix="0" xfId="0">
      <alignment horizontal="general" vertical="center"/>
    </xf>
    <xf numFmtId="0" fontId="4" fillId="0" borderId="54" applyAlignment="1" pivotButton="0" quotePrefix="0" xfId="0">
      <alignment horizontal="general" vertical="center"/>
    </xf>
    <xf numFmtId="0" fontId="4" fillId="0" borderId="49" applyAlignment="1" pivotButton="0" quotePrefix="0" xfId="0">
      <alignment horizontal="general" vertical="center"/>
    </xf>
    <xf numFmtId="0" fontId="4" fillId="0" borderId="42" applyAlignment="1" pivotButton="0" quotePrefix="0" xfId="0">
      <alignment horizontal="general" vertical="center"/>
    </xf>
    <xf numFmtId="0" fontId="4" fillId="0" borderId="50" applyAlignment="1" pivotButton="0" quotePrefix="0" xfId="0">
      <alignment horizontal="general" vertical="center"/>
    </xf>
    <xf numFmtId="0" fontId="4" fillId="0" borderId="0" applyAlignment="1" pivotButton="0" quotePrefix="0" xfId="0">
      <alignment horizontal="general" vertical="bottom"/>
    </xf>
    <xf numFmtId="0" fontId="0" fillId="0" borderId="0" pivotButton="0" quotePrefix="0" xfId="0"/>
    <xf numFmtId="0" fontId="26" fillId="2" borderId="1" applyAlignment="1" pivotButton="0" quotePrefix="0" xfId="0">
      <alignment horizontal="general" vertical="center"/>
    </xf>
    <xf numFmtId="0" fontId="27" fillId="2" borderId="0" applyAlignment="1" pivotButton="0" quotePrefix="0" xfId="0">
      <alignment horizontal="general" vertical="bottom"/>
    </xf>
    <xf numFmtId="0" fontId="28" fillId="2" borderId="0" applyAlignment="1" pivotButton="0" quotePrefix="0" xfId="0">
      <alignment horizontal="general" vertical="bottom"/>
    </xf>
    <xf numFmtId="0" fontId="0" fillId="0" borderId="1" pivotButton="0" quotePrefix="0" xfId="0"/>
    <xf numFmtId="0" fontId="4" fillId="0" borderId="2" applyAlignment="1" pivotButton="0" quotePrefix="0" xfId="0">
      <alignment horizontal="general" vertical="bottom"/>
    </xf>
    <xf numFmtId="0" fontId="0" fillId="0" borderId="136" pivotButton="0" quotePrefix="0" xfId="0"/>
    <xf numFmtId="0" fontId="0" fillId="0" borderId="137" pivotButton="0" quotePrefix="0" xfId="0"/>
    <xf numFmtId="164" fontId="4" fillId="0" borderId="3" applyAlignment="1" pivotButton="0" quotePrefix="0" xfId="0">
      <alignment horizontal="center" vertical="bottom" shrinkToFit="1"/>
    </xf>
    <xf numFmtId="0" fontId="27" fillId="0" borderId="4" applyAlignment="1" pivotButton="0" quotePrefix="0" xfId="0">
      <alignment horizontal="center" vertical="bottom"/>
    </xf>
    <xf numFmtId="0" fontId="0" fillId="0" borderId="139" pivotButton="0" quotePrefix="0" xfId="0"/>
    <xf numFmtId="0" fontId="28" fillId="0" borderId="5" applyAlignment="1" pivotButton="0" quotePrefix="0" xfId="0">
      <alignment horizontal="general" vertical="bottom"/>
    </xf>
    <xf numFmtId="0" fontId="0" fillId="0" borderId="120" pivotButton="0" quotePrefix="0" xfId="0"/>
    <xf numFmtId="0" fontId="0" fillId="0" borderId="43" pivotButton="0" quotePrefix="0" xfId="0"/>
    <xf numFmtId="0" fontId="4" fillId="0" borderId="6" applyAlignment="1" pivotButton="0" quotePrefix="0" xfId="0">
      <alignment horizontal="center" vertical="bottom" shrinkToFit="1"/>
    </xf>
    <xf numFmtId="165" fontId="4" fillId="0" borderId="7" applyAlignment="1" pivotButton="0" quotePrefix="0" xfId="0">
      <alignment horizontal="general" vertical="bottom"/>
    </xf>
    <xf numFmtId="166" fontId="4" fillId="0" borderId="8" applyAlignment="1" pivotButton="0" quotePrefix="0" xfId="0">
      <alignment horizontal="general" vertical="bottom"/>
    </xf>
    <xf numFmtId="0" fontId="0" fillId="0" borderId="129" pivotButton="0" quotePrefix="0" xfId="0"/>
    <xf numFmtId="165" fontId="4" fillId="2" borderId="0" applyAlignment="1" pivotButton="0" quotePrefix="0" xfId="0">
      <alignment horizontal="general" vertical="bottom"/>
    </xf>
    <xf numFmtId="167" fontId="4" fillId="0" borderId="8" applyAlignment="1" pivotButton="0" quotePrefix="0" xfId="0">
      <alignment horizontal="general" vertical="bottom"/>
    </xf>
    <xf numFmtId="165" fontId="4" fillId="0" borderId="7" applyAlignment="1" pivotButton="0" quotePrefix="0" xfId="0">
      <alignment horizontal="right" vertical="bottom"/>
    </xf>
    <xf numFmtId="0" fontId="28" fillId="0" borderId="6" applyAlignment="1" pivotButton="0" quotePrefix="0" xfId="0">
      <alignment horizontal="center" vertical="bottom" shrinkToFit="1"/>
    </xf>
    <xf numFmtId="168" fontId="4" fillId="0" borderId="7" applyAlignment="1" pivotButton="0" quotePrefix="0" xfId="0">
      <alignment horizontal="general" vertical="bottom"/>
    </xf>
    <xf numFmtId="169" fontId="4" fillId="0" borderId="7" applyAlignment="1" pivotButton="0" quotePrefix="0" xfId="0">
      <alignment horizontal="general" vertical="bottom"/>
    </xf>
    <xf numFmtId="0" fontId="28" fillId="0" borderId="9" applyAlignment="1" pivotButton="0" quotePrefix="0" xfId="0">
      <alignment horizontal="general" vertical="bottom"/>
    </xf>
    <xf numFmtId="0" fontId="0" fillId="0" borderId="36" pivotButton="0" quotePrefix="0" xfId="0"/>
    <xf numFmtId="0" fontId="0" fillId="0" borderId="44" pivotButton="0" quotePrefix="0" xfId="0"/>
    <xf numFmtId="0" fontId="28" fillId="0" borderId="10" applyAlignment="1" pivotButton="0" quotePrefix="0" xfId="0">
      <alignment horizontal="center" vertical="bottom" shrinkToFit="1"/>
    </xf>
    <xf numFmtId="168" fontId="4" fillId="0" borderId="11" applyAlignment="1" pivotButton="0" quotePrefix="0" xfId="0">
      <alignment horizontal="general" vertical="bottom"/>
    </xf>
    <xf numFmtId="0" fontId="29" fillId="2" borderId="12" applyAlignment="1" pivotButton="0" quotePrefix="0" xfId="0">
      <alignment horizontal="center" vertical="center"/>
    </xf>
    <xf numFmtId="0" fontId="0" fillId="0" borderId="140" pivotButton="0" quotePrefix="0" xfId="0"/>
    <xf numFmtId="0" fontId="0" fillId="0" borderId="141" pivotButton="0" quotePrefix="0" xfId="0"/>
    <xf numFmtId="0" fontId="27" fillId="0" borderId="13" applyAlignment="1" pivotButton="0" quotePrefix="0" xfId="0">
      <alignment horizontal="center" vertical="center"/>
    </xf>
    <xf numFmtId="0" fontId="0" fillId="0" borderId="54" pivotButton="0" quotePrefix="0" xfId="0"/>
    <xf numFmtId="0" fontId="28" fillId="0" borderId="14" applyAlignment="1" pivotButton="0" quotePrefix="0" xfId="0">
      <alignment horizontal="center" vertical="center"/>
    </xf>
    <xf numFmtId="164" fontId="4" fillId="0" borderId="14" applyAlignment="1" pivotButton="0" quotePrefix="0" xfId="0">
      <alignment horizontal="center" vertical="center" shrinkToFit="1"/>
    </xf>
    <xf numFmtId="0" fontId="28" fillId="0" borderId="15" applyAlignment="1" pivotButton="0" quotePrefix="0" xfId="0">
      <alignment horizontal="center" vertical="center"/>
    </xf>
    <xf numFmtId="0" fontId="0" fillId="0" borderId="142" pivotButton="0" quotePrefix="0" xfId="0"/>
    <xf numFmtId="0" fontId="0" fillId="0" borderId="131" pivotButton="0" quotePrefix="0" xfId="0"/>
    <xf numFmtId="0" fontId="0" fillId="0" borderId="42" pivotButton="0" quotePrefix="0" xfId="0"/>
    <xf numFmtId="0" fontId="0" fillId="0" borderId="50" pivotButton="0" quotePrefix="0" xfId="0"/>
    <xf numFmtId="0" fontId="28" fillId="0" borderId="6" applyAlignment="1" pivotButton="0" quotePrefix="0" xfId="0">
      <alignment horizontal="center" vertical="center"/>
    </xf>
    <xf numFmtId="0" fontId="28" fillId="0" borderId="7" applyAlignment="1" pivotButton="0" quotePrefix="0" xfId="0">
      <alignment horizontal="center" vertical="center"/>
    </xf>
    <xf numFmtId="0" fontId="0" fillId="0" borderId="49" pivotButton="0" quotePrefix="0" xfId="0"/>
    <xf numFmtId="0" fontId="0" fillId="0" borderId="143" pivotButton="0" quotePrefix="0" xfId="0"/>
    <xf numFmtId="0" fontId="28" fillId="0" borderId="0" applyAlignment="1" pivotButton="0" quotePrefix="0" xfId="0">
      <alignment horizontal="general" vertical="bottom"/>
    </xf>
    <xf numFmtId="0" fontId="28" fillId="0" borderId="5" applyAlignment="1" pivotButton="0" quotePrefix="0" xfId="0">
      <alignment horizontal="general" vertical="center"/>
    </xf>
    <xf numFmtId="0" fontId="4" fillId="0" borderId="6" applyAlignment="1" pivotButton="0" quotePrefix="0" xfId="0">
      <alignment horizontal="center" vertical="center"/>
    </xf>
    <xf numFmtId="0" fontId="28" fillId="0" borderId="16" applyAlignment="1" pivotButton="0" quotePrefix="0" xfId="0">
      <alignment horizontal="general" vertical="bottom"/>
    </xf>
    <xf numFmtId="169" fontId="4" fillId="0" borderId="17" applyAlignment="1" pivotButton="0" quotePrefix="0" xfId="0">
      <alignment horizontal="center" vertical="center"/>
    </xf>
    <xf numFmtId="169" fontId="4" fillId="0" borderId="18" applyAlignment="1" pivotButton="0" quotePrefix="0" xfId="0">
      <alignment horizontal="center" vertical="center"/>
    </xf>
    <xf numFmtId="0" fontId="0" fillId="0" borderId="37" pivotButton="0" quotePrefix="0" xfId="0"/>
    <xf numFmtId="0" fontId="9" fillId="2" borderId="0" applyAlignment="1" pivotButton="0" quotePrefix="0" xfId="0">
      <alignment horizontal="center" vertical="center"/>
    </xf>
    <xf numFmtId="0" fontId="0" fillId="0" borderId="35" pivotButton="0" quotePrefix="0" xfId="0"/>
    <xf numFmtId="0" fontId="0" fillId="0" borderId="33" pivotButton="0" quotePrefix="0" xfId="0"/>
    <xf numFmtId="0" fontId="28" fillId="0" borderId="19" applyAlignment="1" pivotButton="0" quotePrefix="0" xfId="0">
      <alignment horizontal="general" vertical="bottom"/>
    </xf>
    <xf numFmtId="169" fontId="4" fillId="0" borderId="20" applyAlignment="1" pivotButton="0" quotePrefix="0" xfId="0">
      <alignment horizontal="center" vertical="center"/>
    </xf>
    <xf numFmtId="169" fontId="4" fillId="0" borderId="21" applyAlignment="1" pivotButton="0" quotePrefix="0" xfId="0">
      <alignment horizontal="center" vertical="center"/>
    </xf>
    <xf numFmtId="0" fontId="0" fillId="0" borderId="60" pivotButton="0" quotePrefix="0" xfId="0"/>
    <xf numFmtId="0" fontId="0" fillId="0" borderId="146" pivotButton="0" quotePrefix="0" xfId="0"/>
    <xf numFmtId="0" fontId="4" fillId="2" borderId="0" applyAlignment="1" pivotButton="0" quotePrefix="0" xfId="0">
      <alignment horizontal="center" vertical="center"/>
    </xf>
    <xf numFmtId="0" fontId="28" fillId="0" borderId="0" applyAlignment="1" pivotButton="0" quotePrefix="0" xfId="0">
      <alignment horizontal="general" vertical="center" wrapText="1"/>
    </xf>
    <xf numFmtId="0" fontId="28" fillId="0" borderId="22" applyAlignment="1" pivotButton="0" quotePrefix="0" xfId="0">
      <alignment horizontal="general" vertical="bottom"/>
    </xf>
    <xf numFmtId="169" fontId="4" fillId="0" borderId="14" applyAlignment="1" pivotButton="0" quotePrefix="0" xfId="0">
      <alignment horizontal="center" vertical="center"/>
    </xf>
    <xf numFmtId="169" fontId="4" fillId="0" borderId="15" applyAlignment="1" pivotButton="0" quotePrefix="0" xfId="0">
      <alignment horizontal="center" vertical="center"/>
    </xf>
    <xf numFmtId="0" fontId="28" fillId="0" borderId="6" applyAlignment="1" pivotButton="0" quotePrefix="0" xfId="0">
      <alignment horizontal="center" vertical="center" wrapText="1"/>
    </xf>
    <xf numFmtId="0" fontId="28" fillId="0" borderId="10" applyAlignment="1" pivotButton="0" quotePrefix="0" xfId="0">
      <alignment horizontal="center" vertical="center"/>
    </xf>
    <xf numFmtId="0" fontId="4" fillId="0" borderId="18" applyAlignment="1" pivotButton="0" quotePrefix="0" xfId="0">
      <alignment horizontal="center" vertical="center"/>
    </xf>
    <xf numFmtId="0" fontId="28" fillId="0" borderId="23" applyAlignment="1" pivotButton="0" quotePrefix="0" xfId="0">
      <alignment horizontal="center" vertical="center"/>
    </xf>
    <xf numFmtId="0" fontId="4" fillId="0" borderId="21" applyAlignment="1" pivotButton="0" quotePrefix="0" xfId="0">
      <alignment horizontal="center" vertical="center"/>
    </xf>
    <xf numFmtId="0" fontId="28" fillId="0" borderId="24" applyAlignment="1" pivotButton="0" quotePrefix="0" xfId="0">
      <alignment horizontal="center" vertical="center"/>
    </xf>
    <xf numFmtId="0" fontId="4" fillId="0" borderId="25" applyAlignment="1" pivotButton="0" quotePrefix="0" xfId="0">
      <alignment horizontal="center" vertical="center"/>
    </xf>
    <xf numFmtId="169" fontId="4" fillId="0" borderId="26" applyAlignment="1" pivotButton="0" quotePrefix="0" xfId="0">
      <alignment horizontal="center" vertical="center"/>
    </xf>
    <xf numFmtId="169" fontId="4" fillId="0" borderId="27" applyAlignment="1" pivotButton="0" quotePrefix="0" xfId="0">
      <alignment horizontal="center" vertical="center"/>
    </xf>
    <xf numFmtId="0" fontId="0" fillId="0" borderId="65" pivotButton="0" quotePrefix="0" xfId="0"/>
    <xf numFmtId="0" fontId="0" fillId="0" borderId="147" pivotButton="0" quotePrefix="0" xfId="0"/>
    <xf numFmtId="168" fontId="4" fillId="0" borderId="14" applyAlignment="1" pivotButton="0" quotePrefix="0" xfId="0">
      <alignment horizontal="center" vertical="center"/>
    </xf>
    <xf numFmtId="168" fontId="4" fillId="0" borderId="28" applyAlignment="1" pivotButton="0" quotePrefix="0" xfId="0">
      <alignment horizontal="center" vertical="center"/>
    </xf>
    <xf numFmtId="0" fontId="0" fillId="0" borderId="67" pivotButton="0" quotePrefix="0" xfId="0"/>
    <xf numFmtId="0" fontId="0" fillId="0" borderId="150" pivotButton="0" quotePrefix="0" xfId="0"/>
    <xf numFmtId="0" fontId="28" fillId="0" borderId="0" applyAlignment="1" pivotButton="0" quotePrefix="0" xfId="0">
      <alignment horizontal="right" vertical="top" textRotation="255"/>
    </xf>
    <xf numFmtId="0" fontId="28" fillId="0" borderId="6" applyAlignment="1" pivotButton="0" quotePrefix="0" xfId="0">
      <alignment horizontal="general" vertical="center"/>
    </xf>
    <xf numFmtId="0" fontId="28" fillId="0" borderId="29" applyAlignment="1" pivotButton="0" quotePrefix="0" xfId="0">
      <alignment horizontal="center" vertical="center"/>
    </xf>
    <xf numFmtId="0" fontId="4" fillId="0" borderId="0" applyAlignment="1" pivotButton="0" quotePrefix="0" xfId="0">
      <alignment horizontal="general" vertical="center"/>
    </xf>
    <xf numFmtId="0" fontId="0" fillId="0" borderId="0" applyAlignment="1" pivotButton="0" quotePrefix="0" xfId="0">
      <alignment horizontal="general" vertical="bottom"/>
    </xf>
    <xf numFmtId="0" fontId="28" fillId="0" borderId="30" applyAlignment="1" pivotButton="0" quotePrefix="0" xfId="0">
      <alignment horizontal="center" vertical="center"/>
    </xf>
    <xf numFmtId="0" fontId="4" fillId="0" borderId="31" applyAlignment="1" pivotButton="0" quotePrefix="0" xfId="0">
      <alignment horizontal="center" vertical="center"/>
    </xf>
    <xf numFmtId="0" fontId="0" fillId="0" borderId="151" pivotButton="0" quotePrefix="0" xfId="0"/>
    <xf numFmtId="0" fontId="0" fillId="0" borderId="152" pivotButton="0" quotePrefix="0" xfId="0"/>
    <xf numFmtId="0" fontId="4" fillId="0" borderId="5" applyAlignment="1" pivotButton="0" quotePrefix="0" xfId="0">
      <alignment horizontal="general" vertical="center"/>
    </xf>
    <xf numFmtId="170" fontId="4" fillId="0" borderId="10" applyAlignment="1" pivotButton="0" quotePrefix="0" xfId="0">
      <alignment horizontal="center" vertical="center"/>
    </xf>
    <xf numFmtId="170" fontId="4" fillId="0" borderId="32" applyAlignment="1" pivotButton="0" quotePrefix="0" xfId="0">
      <alignment horizontal="center" vertical="center"/>
    </xf>
    <xf numFmtId="0" fontId="0" fillId="0" borderId="114" pivotButton="0" quotePrefix="0" xfId="0"/>
    <xf numFmtId="0" fontId="0" fillId="0" borderId="153" pivotButton="0" quotePrefix="0" xfId="0"/>
    <xf numFmtId="170" fontId="4" fillId="0" borderId="30" applyAlignment="1" pivotButton="0" quotePrefix="0" xfId="0">
      <alignment horizontal="center" vertical="center"/>
    </xf>
    <xf numFmtId="170" fontId="4" fillId="0" borderId="31" applyAlignment="1" pivotButton="0" quotePrefix="0" xfId="0">
      <alignment horizontal="center" vertical="center"/>
    </xf>
    <xf numFmtId="170" fontId="4" fillId="0" borderId="14" applyAlignment="1" pivotButton="0" quotePrefix="0" xfId="0">
      <alignment horizontal="center" vertical="center"/>
    </xf>
    <xf numFmtId="170" fontId="4" fillId="0" borderId="28" applyAlignment="1" pivotButton="0" quotePrefix="0" xfId="0">
      <alignment horizontal="center" vertical="center"/>
    </xf>
    <xf numFmtId="0" fontId="28" fillId="0" borderId="0" applyAlignment="1" pivotButton="0" quotePrefix="0" xfId="0">
      <alignment horizontal="general" vertical="center"/>
    </xf>
    <xf numFmtId="0" fontId="4" fillId="0" borderId="5" applyAlignment="1" pivotButton="0" quotePrefix="0" xfId="0">
      <alignment horizontal="general" vertical="center" wrapText="1"/>
    </xf>
    <xf numFmtId="0" fontId="4" fillId="0" borderId="6" applyAlignment="1" pivotButton="0" quotePrefix="0" xfId="0">
      <alignment horizontal="center" vertical="bottom"/>
    </xf>
    <xf numFmtId="0" fontId="28" fillId="0" borderId="7" applyAlignment="1" pivotButton="0" quotePrefix="0" xfId="0">
      <alignment horizontal="general" vertical="center"/>
    </xf>
    <xf numFmtId="0" fontId="4" fillId="0" borderId="16" applyAlignment="1" pivotButton="0" quotePrefix="0" xfId="0">
      <alignment horizontal="left" vertical="center"/>
    </xf>
    <xf numFmtId="168" fontId="4" fillId="0" borderId="18" applyAlignment="1" pivotButton="0" quotePrefix="0" xfId="0">
      <alignment horizontal="center" vertical="center"/>
    </xf>
    <xf numFmtId="0" fontId="4" fillId="0" borderId="33" applyAlignment="1" pivotButton="0" quotePrefix="0" xfId="0">
      <alignment horizontal="center" vertical="center"/>
    </xf>
    <xf numFmtId="0" fontId="4" fillId="0" borderId="19" applyAlignment="1" pivotButton="0" quotePrefix="0" xfId="0">
      <alignment horizontal="right" vertical="center"/>
    </xf>
    <xf numFmtId="0" fontId="4" fillId="0" borderId="34" applyAlignment="1" pivotButton="0" quotePrefix="0" xfId="0">
      <alignment horizontal="center" vertical="center"/>
    </xf>
    <xf numFmtId="169" fontId="4" fillId="0" borderId="31" applyAlignment="1" pivotButton="0" quotePrefix="0" xfId="0">
      <alignment horizontal="center" vertical="center"/>
    </xf>
    <xf numFmtId="0" fontId="28" fillId="0" borderId="7" applyAlignment="1" pivotButton="0" quotePrefix="0" xfId="0">
      <alignment horizontal="general" vertical="bottom"/>
    </xf>
    <xf numFmtId="171" fontId="4" fillId="0" borderId="7" applyAlignment="1" pivotButton="0" quotePrefix="0" xfId="0">
      <alignment horizontal="center" vertical="center"/>
    </xf>
    <xf numFmtId="0" fontId="28" fillId="0" borderId="7" applyAlignment="1" pivotButton="0" quotePrefix="0" xfId="0">
      <alignment horizontal="left" vertical="center"/>
    </xf>
    <xf numFmtId="168" fontId="4" fillId="0" borderId="7" applyAlignment="1" pivotButton="0" quotePrefix="0" xfId="0">
      <alignment horizontal="center" vertical="center"/>
    </xf>
    <xf numFmtId="168" fontId="4" fillId="0" borderId="27" applyAlignment="1" pivotButton="0" quotePrefix="0" xfId="0">
      <alignment horizontal="center" vertical="center"/>
    </xf>
    <xf numFmtId="169" fontId="4" fillId="0" borderId="10" applyAlignment="1" pivotButton="0" quotePrefix="0" xfId="0">
      <alignment horizontal="center" vertical="center"/>
    </xf>
    <xf numFmtId="0" fontId="4" fillId="0" borderId="10" applyAlignment="1" pivotButton="0" quotePrefix="0" xfId="0">
      <alignment horizontal="center" vertical="bottom"/>
    </xf>
    <xf numFmtId="0" fontId="28" fillId="0" borderId="10" applyAlignment="1" pivotButton="0" quotePrefix="0" xfId="0">
      <alignment horizontal="general" vertical="bottom"/>
    </xf>
    <xf numFmtId="171" fontId="4" fillId="0" borderId="6" applyAlignment="1" pivotButton="0" quotePrefix="0" xfId="0">
      <alignment horizontal="center" vertical="center"/>
    </xf>
    <xf numFmtId="171" fontId="4" fillId="0" borderId="8" applyAlignment="1" pivotButton="0" quotePrefix="0" xfId="0">
      <alignment horizontal="center" vertical="center"/>
    </xf>
    <xf numFmtId="0" fontId="28" fillId="0" borderId="35" applyAlignment="1" pivotButton="0" quotePrefix="0" xfId="0">
      <alignment horizontal="general" vertical="bottom"/>
    </xf>
    <xf numFmtId="0" fontId="4" fillId="0" borderId="36" applyAlignment="1" pivotButton="0" quotePrefix="0" xfId="0">
      <alignment horizontal="center" vertical="bottom"/>
    </xf>
    <xf numFmtId="0" fontId="4" fillId="0" borderId="36" applyAlignment="1" pivotButton="0" quotePrefix="0" xfId="0">
      <alignment horizontal="general" vertical="bottom"/>
    </xf>
    <xf numFmtId="0" fontId="4" fillId="0" borderId="36" applyAlignment="1" pivotButton="0" quotePrefix="0" xfId="0">
      <alignment horizontal="center" vertical="center"/>
    </xf>
    <xf numFmtId="172" fontId="4" fillId="0" borderId="36" applyAlignment="1" pivotButton="0" quotePrefix="0" xfId="0">
      <alignment horizontal="center" vertical="center"/>
    </xf>
    <xf numFmtId="0" fontId="4" fillId="0" borderId="37" applyAlignment="1" pivotButton="0" quotePrefix="0" xfId="0">
      <alignment horizontal="general" vertical="bottom"/>
    </xf>
    <xf numFmtId="0" fontId="4" fillId="0" borderId="38" applyAlignment="1" pivotButton="0" quotePrefix="0" xfId="0">
      <alignment horizontal="general" vertical="bottom"/>
    </xf>
    <xf numFmtId="0" fontId="0" fillId="0" borderId="154" pivotButton="0" quotePrefix="0" xfId="0"/>
    <xf numFmtId="0" fontId="0" fillId="0" borderId="155" pivotButton="0" quotePrefix="0" xfId="0"/>
    <xf numFmtId="164" fontId="4" fillId="0" borderId="39" applyAlignment="1" pivotButton="0" quotePrefix="0" xfId="0">
      <alignment horizontal="center" vertical="bottom" shrinkToFit="1"/>
    </xf>
    <xf numFmtId="170" fontId="4" fillId="0" borderId="8" applyAlignment="1" pivotButton="0" quotePrefix="0" xfId="0">
      <alignment horizontal="general" vertical="bottom"/>
    </xf>
    <xf numFmtId="165" fontId="4" fillId="0" borderId="6" applyAlignment="1" pivotButton="0" quotePrefix="0" xfId="0">
      <alignment horizontal="general" vertical="bottom"/>
    </xf>
    <xf numFmtId="165" fontId="4" fillId="0" borderId="0" applyAlignment="1" pivotButton="0" quotePrefix="0" xfId="0">
      <alignment horizontal="right" vertical="bottom"/>
    </xf>
    <xf numFmtId="168" fontId="4" fillId="0" borderId="7" applyAlignment="1" pivotButton="0" quotePrefix="0" xfId="0">
      <alignment horizontal="right" vertical="bottom"/>
    </xf>
    <xf numFmtId="168" fontId="4" fillId="0" borderId="11" applyAlignment="1" pivotButton="0" quotePrefix="0" xfId="0">
      <alignment horizontal="right" vertical="bottom"/>
    </xf>
    <xf numFmtId="169" fontId="4" fillId="0" borderId="23" applyAlignment="1" pivotButton="0" quotePrefix="0" xfId="0">
      <alignment horizontal="center" vertical="center"/>
    </xf>
    <xf numFmtId="169" fontId="4" fillId="0" borderId="40" applyAlignment="1" pivotButton="0" quotePrefix="0" xfId="0">
      <alignment horizontal="center" vertical="center"/>
    </xf>
    <xf numFmtId="170" fontId="4" fillId="0" borderId="29" applyAlignment="1" pivotButton="0" quotePrefix="0" xfId="0">
      <alignment horizontal="center" vertical="center"/>
    </xf>
    <xf numFmtId="170" fontId="4" fillId="0" borderId="24" applyAlignment="1" pivotButton="0" quotePrefix="0" xfId="0">
      <alignment horizontal="center" vertical="center"/>
    </xf>
    <xf numFmtId="0" fontId="4" fillId="0" borderId="22" applyAlignment="1" pivotButton="0" quotePrefix="0" xfId="0">
      <alignment horizontal="center" vertical="center"/>
    </xf>
    <xf numFmtId="172" fontId="4" fillId="0" borderId="8" applyAlignment="1" pivotButton="0" quotePrefix="0" xfId="0">
      <alignment horizontal="center" vertical="center"/>
    </xf>
    <xf numFmtId="171" fontId="4" fillId="0" borderId="36" applyAlignment="1" pivotButton="0" quotePrefix="0" xfId="0">
      <alignment horizontal="center" vertical="center"/>
    </xf>
    <xf numFmtId="165" fontId="4" fillId="0" borderId="6" applyAlignment="1" pivotButton="0" quotePrefix="0" xfId="0">
      <alignment horizontal="right" vertical="bottom"/>
    </xf>
    <xf numFmtId="173" fontId="4" fillId="0" borderId="8" applyAlignment="1" pivotButton="0" quotePrefix="0" xfId="0">
      <alignment horizontal="general" vertical="bottom"/>
    </xf>
    <xf numFmtId="169" fontId="4" fillId="0" borderId="7" applyAlignment="1" pivotButton="0" quotePrefix="0" xfId="0">
      <alignment horizontal="right" vertical="bottom"/>
    </xf>
    <xf numFmtId="174" fontId="4" fillId="0" borderId="0" applyAlignment="1" pivotButton="0" quotePrefix="0" xfId="0">
      <alignment horizontal="general" vertical="bottom"/>
    </xf>
    <xf numFmtId="0" fontId="4" fillId="2" borderId="0" applyAlignment="1" pivotButton="0" quotePrefix="0" xfId="0">
      <alignment horizontal="general" vertical="bottom"/>
    </xf>
    <xf numFmtId="169" fontId="4" fillId="0" borderId="41" applyAlignment="1" pivotButton="0" quotePrefix="0" xfId="0">
      <alignment horizontal="center" vertical="center"/>
    </xf>
    <xf numFmtId="165" fontId="4" fillId="0" borderId="0" applyAlignment="1" pivotButton="0" quotePrefix="0" xfId="0">
      <alignment horizontal="general" vertical="bottom"/>
    </xf>
    <xf numFmtId="0" fontId="28" fillId="0" borderId="6" applyAlignment="1" pivotButton="0" quotePrefix="0" xfId="0">
      <alignment horizontal="center" vertical="center" shrinkToFit="1"/>
    </xf>
    <xf numFmtId="175" fontId="4" fillId="0" borderId="8" applyAlignment="1" pivotButton="0" quotePrefix="0" xfId="0">
      <alignment horizontal="general" vertical="bottom"/>
    </xf>
    <xf numFmtId="0" fontId="4" fillId="0" borderId="0" applyAlignment="1" pivotButton="0" quotePrefix="0" xfId="0">
      <alignment horizontal="center" vertical="center"/>
    </xf>
    <xf numFmtId="0" fontId="30" fillId="2" borderId="0" applyAlignment="1" pivotButton="0" quotePrefix="0" xfId="0">
      <alignment horizontal="general" vertical="center"/>
    </xf>
    <xf numFmtId="0" fontId="4" fillId="2" borderId="0" applyAlignment="1" pivotButton="0" quotePrefix="0" xfId="0">
      <alignment horizontal="general" vertical="center"/>
    </xf>
    <xf numFmtId="0" fontId="27" fillId="2" borderId="42" applyAlignment="1" pivotButton="0" quotePrefix="0" xfId="0">
      <alignment horizontal="general" vertical="center"/>
    </xf>
    <xf numFmtId="0" fontId="31" fillId="2" borderId="6" applyAlignment="1" pivotButton="0" quotePrefix="0" xfId="0">
      <alignment horizontal="center" vertical="center"/>
    </xf>
    <xf numFmtId="0" fontId="12" fillId="2" borderId="6" applyAlignment="1" pivotButton="0" quotePrefix="0" xfId="0">
      <alignment horizontal="center" vertical="center"/>
    </xf>
    <xf numFmtId="0" fontId="0" fillId="0" borderId="14" pivotButton="0" quotePrefix="0" xfId="0"/>
    <xf numFmtId="0" fontId="32" fillId="2" borderId="6" applyAlignment="1" pivotButton="0" quotePrefix="0" xfId="0">
      <alignment horizontal="center" vertical="center"/>
    </xf>
    <xf numFmtId="176" fontId="12" fillId="2" borderId="6" applyAlignment="1" pivotButton="0" quotePrefix="0" xfId="0">
      <alignment horizontal="center" vertical="center"/>
    </xf>
    <xf numFmtId="0" fontId="31" fillId="2" borderId="6" applyAlignment="1" pivotButton="0" quotePrefix="0" xfId="0">
      <alignment horizontal="general" vertical="center" shrinkToFit="1"/>
    </xf>
    <xf numFmtId="0" fontId="31" fillId="2" borderId="7" applyAlignment="1" pivotButton="0" quotePrefix="0" xfId="0">
      <alignment horizontal="general" vertical="center"/>
    </xf>
    <xf numFmtId="0" fontId="12" fillId="2" borderId="43" applyAlignment="1" pivotButton="0" quotePrefix="0" xfId="0">
      <alignment horizontal="center" vertical="center"/>
    </xf>
    <xf numFmtId="0" fontId="13" fillId="0" borderId="6" applyAlignment="1" pivotButton="0" quotePrefix="0" xfId="0">
      <alignment horizontal="center" vertical="center"/>
    </xf>
    <xf numFmtId="0" fontId="31" fillId="2" borderId="17" applyAlignment="1" pivotButton="0" quotePrefix="0" xfId="0">
      <alignment horizontal="general" vertical="center"/>
    </xf>
    <xf numFmtId="0" fontId="31" fillId="2" borderId="44" applyAlignment="1" pivotButton="0" quotePrefix="0" xfId="0">
      <alignment horizontal="center" vertical="center"/>
    </xf>
    <xf numFmtId="177" fontId="13" fillId="0" borderId="45" applyAlignment="1" pivotButton="0" quotePrefix="0" xfId="0">
      <alignment horizontal="center" vertical="center"/>
    </xf>
    <xf numFmtId="0" fontId="0" fillId="0" borderId="57" pivotButton="0" quotePrefix="0" xfId="0"/>
    <xf numFmtId="0" fontId="0" fillId="0" borderId="24" pivotButton="0" quotePrefix="0" xfId="0"/>
    <xf numFmtId="0" fontId="31" fillId="2" borderId="46" applyAlignment="1" pivotButton="0" quotePrefix="0" xfId="0">
      <alignment horizontal="general" vertical="center"/>
    </xf>
    <xf numFmtId="0" fontId="12" fillId="2" borderId="47" applyAlignment="1" pivotButton="0" quotePrefix="0" xfId="0">
      <alignment horizontal="center" vertical="center"/>
    </xf>
    <xf numFmtId="0" fontId="13" fillId="0" borderId="48" applyAlignment="1" pivotButton="0" quotePrefix="0" xfId="0">
      <alignment horizontal="center" vertical="center"/>
    </xf>
    <xf numFmtId="0" fontId="0" fillId="0" borderId="47" pivotButton="0" quotePrefix="0" xfId="0"/>
    <xf numFmtId="0" fontId="31" fillId="2" borderId="49" applyAlignment="1" pivotButton="0" quotePrefix="0" xfId="0">
      <alignment horizontal="general" vertical="center"/>
    </xf>
    <xf numFmtId="0" fontId="12" fillId="2" borderId="50" applyAlignment="1" pivotButton="0" quotePrefix="0" xfId="0">
      <alignment horizontal="center" vertical="center"/>
    </xf>
    <xf numFmtId="0" fontId="13" fillId="0" borderId="51" applyAlignment="1" pivotButton="0" quotePrefix="0" xfId="0">
      <alignment horizontal="center" vertical="center"/>
    </xf>
    <xf numFmtId="0" fontId="0" fillId="0" borderId="53" pivotButton="0" quotePrefix="0" xfId="0"/>
    <xf numFmtId="0" fontId="33" fillId="0" borderId="45" applyAlignment="1" pivotButton="0" quotePrefix="0" xfId="0">
      <alignment horizontal="center" vertical="center"/>
    </xf>
    <xf numFmtId="0" fontId="28" fillId="0" borderId="0" applyAlignment="1" pivotButton="0" quotePrefix="0" xfId="0">
      <alignment horizontal="center" vertical="center"/>
    </xf>
    <xf numFmtId="0" fontId="31" fillId="2" borderId="52" applyAlignment="1" pivotButton="0" quotePrefix="0" xfId="0">
      <alignment horizontal="general" vertical="center"/>
    </xf>
    <xf numFmtId="0" fontId="12" fillId="2" borderId="53" applyAlignment="1" pivotButton="0" quotePrefix="0" xfId="0">
      <alignment horizontal="center" vertical="center"/>
    </xf>
    <xf numFmtId="0" fontId="33" fillId="0" borderId="51" applyAlignment="1" pivotButton="0" quotePrefix="0" xfId="0">
      <alignment horizontal="center" vertical="center"/>
    </xf>
    <xf numFmtId="49" fontId="28" fillId="0" borderId="0" applyAlignment="1" pivotButton="0" quotePrefix="0" xfId="0">
      <alignment horizontal="center" vertical="center"/>
    </xf>
    <xf numFmtId="0" fontId="31" fillId="2" borderId="14" applyAlignment="1" pivotButton="0" quotePrefix="0" xfId="0">
      <alignment horizontal="general" vertical="center" shrinkToFit="1"/>
    </xf>
    <xf numFmtId="0" fontId="12" fillId="2" borderId="14" applyAlignment="1" pivotButton="0" quotePrefix="0" xfId="0">
      <alignment horizontal="center" vertical="center"/>
    </xf>
    <xf numFmtId="0" fontId="13" fillId="0" borderId="45" applyAlignment="1" pivotButton="0" quotePrefix="0" xfId="0">
      <alignment horizontal="center" vertical="center"/>
    </xf>
    <xf numFmtId="0" fontId="33" fillId="0" borderId="48" applyAlignment="1" pivotButton="0" quotePrefix="0" xfId="0">
      <alignment horizontal="center" vertical="center"/>
    </xf>
    <xf numFmtId="0" fontId="31" fillId="2" borderId="10" applyAlignment="1" pivotButton="0" quotePrefix="0" xfId="0">
      <alignment horizontal="general" vertical="center" shrinkToFit="1"/>
    </xf>
    <xf numFmtId="49" fontId="12" fillId="2" borderId="6" applyAlignment="1" pivotButton="0" quotePrefix="0" xfId="0">
      <alignment horizontal="center" vertical="center"/>
    </xf>
    <xf numFmtId="49" fontId="31" fillId="2" borderId="6" applyAlignment="1" pivotButton="0" quotePrefix="0" xfId="0">
      <alignment horizontal="center" vertical="center"/>
    </xf>
    <xf numFmtId="177" fontId="13" fillId="0" borderId="51" applyAlignment="1" pivotButton="0" quotePrefix="0" xfId="0">
      <alignment horizontal="center" vertical="center"/>
    </xf>
    <xf numFmtId="177" fontId="33" fillId="0" borderId="51" applyAlignment="1" pivotButton="0" quotePrefix="0" xfId="0">
      <alignment horizontal="center" vertical="center" shrinkToFit="1"/>
    </xf>
    <xf numFmtId="0" fontId="12" fillId="2" borderId="10" applyAlignment="1" pivotButton="0" quotePrefix="0" xfId="0">
      <alignment horizontal="center" vertical="center"/>
    </xf>
    <xf numFmtId="0" fontId="31" fillId="2" borderId="43" applyAlignment="1" pivotButton="0" quotePrefix="0" xfId="0">
      <alignment horizontal="center" vertical="center"/>
    </xf>
    <xf numFmtId="166" fontId="13" fillId="0" borderId="45" applyAlignment="1" pivotButton="0" quotePrefix="0" xfId="0">
      <alignment horizontal="center" vertical="center"/>
    </xf>
    <xf numFmtId="0" fontId="31" fillId="2" borderId="24" applyAlignment="1" pivotButton="0" quotePrefix="0" xfId="0">
      <alignment horizontal="general" vertical="center" shrinkToFit="1"/>
    </xf>
    <xf numFmtId="49" fontId="12" fillId="2" borderId="14" applyAlignment="1" pivotButton="0" quotePrefix="0" xfId="0">
      <alignment horizontal="center" vertical="center"/>
    </xf>
    <xf numFmtId="0" fontId="31" fillId="2" borderId="33" applyAlignment="1" pivotButton="0" quotePrefix="0" xfId="0">
      <alignment horizontal="general" vertical="center"/>
    </xf>
    <xf numFmtId="0" fontId="31" fillId="2" borderId="54" applyAlignment="1" pivotButton="0" quotePrefix="0" xfId="0">
      <alignment horizontal="center" vertical="center"/>
    </xf>
    <xf numFmtId="177" fontId="13" fillId="0" borderId="0" applyAlignment="1" pivotButton="0" quotePrefix="0" xfId="0">
      <alignment horizontal="center" vertical="center"/>
    </xf>
    <xf numFmtId="0" fontId="13" fillId="0" borderId="0" applyAlignment="1" pivotButton="0" quotePrefix="0" xfId="0">
      <alignment horizontal="center" vertical="center"/>
    </xf>
    <xf numFmtId="0" fontId="33" fillId="0" borderId="0" applyAlignment="1" pivotButton="0" quotePrefix="0" xfId="0">
      <alignment horizontal="center" vertical="center"/>
    </xf>
    <xf numFmtId="49" fontId="28" fillId="0" borderId="0" applyAlignment="1" pivotButton="0" quotePrefix="0" xfId="0">
      <alignment horizontal="general" vertical="center"/>
    </xf>
    <xf numFmtId="166" fontId="13" fillId="0" borderId="48" applyAlignment="1" pivotButton="0" quotePrefix="0" xfId="0">
      <alignment horizontal="center" vertical="center"/>
    </xf>
    <xf numFmtId="166" fontId="33" fillId="0" borderId="48" applyAlignment="1" pivotButton="0" quotePrefix="0" xfId="0">
      <alignment horizontal="center" vertical="center"/>
    </xf>
    <xf numFmtId="166" fontId="33" fillId="0" borderId="51" applyAlignment="1" pivotButton="0" quotePrefix="0" xfId="0">
      <alignment horizontal="center" vertical="center"/>
    </xf>
    <xf numFmtId="0" fontId="31" fillId="2" borderId="6" applyAlignment="1" pivotButton="0" quotePrefix="0" xfId="0">
      <alignment horizontal="left" vertical="center" shrinkToFit="1"/>
    </xf>
    <xf numFmtId="0" fontId="12" fillId="2" borderId="42" applyAlignment="1" pivotButton="0" quotePrefix="0" xfId="0">
      <alignment horizontal="general" vertical="center"/>
    </xf>
    <xf numFmtId="0" fontId="31" fillId="2" borderId="0" applyAlignment="1" pivotButton="0" quotePrefix="0" xfId="0">
      <alignment horizontal="general" vertical="center"/>
    </xf>
    <xf numFmtId="0" fontId="31" fillId="2" borderId="6" applyAlignment="1" pivotButton="0" quotePrefix="0" xfId="0">
      <alignment horizontal="center" vertical="center" wrapText="1"/>
    </xf>
    <xf numFmtId="0" fontId="34" fillId="2" borderId="6" applyAlignment="1" pivotButton="0" quotePrefix="0" xfId="0">
      <alignment horizontal="left" vertical="center" shrinkToFit="1"/>
    </xf>
    <xf numFmtId="0" fontId="33" fillId="0" borderId="55" applyAlignment="1" pivotButton="0" quotePrefix="0" xfId="0">
      <alignment horizontal="center" vertical="center"/>
    </xf>
    <xf numFmtId="0" fontId="0" fillId="0" borderId="158" pivotButton="0" quotePrefix="0" xfId="0"/>
    <xf numFmtId="0" fontId="31" fillId="2" borderId="56" applyAlignment="1" pivotButton="0" quotePrefix="0" xfId="0">
      <alignment horizontal="general" vertical="center"/>
    </xf>
    <xf numFmtId="2" fontId="13" fillId="0" borderId="55" applyAlignment="1" pivotButton="0" quotePrefix="0" xfId="0">
      <alignment horizontal="center" vertical="center"/>
    </xf>
    <xf numFmtId="0" fontId="12" fillId="2" borderId="57" applyAlignment="1" pivotButton="0" quotePrefix="0" xfId="0">
      <alignment horizontal="center" vertical="center"/>
    </xf>
    <xf numFmtId="0" fontId="33" fillId="0" borderId="14" applyAlignment="1" pivotButton="0" quotePrefix="0" xfId="0">
      <alignment horizontal="center" vertical="center"/>
    </xf>
    <xf numFmtId="0" fontId="31" fillId="2" borderId="57" applyAlignment="1" pivotButton="0" quotePrefix="0" xfId="0">
      <alignment horizontal="center" vertical="center"/>
    </xf>
    <xf numFmtId="172" fontId="13" fillId="0" borderId="55" applyAlignment="1" pivotButton="0" quotePrefix="0" xfId="0">
      <alignment horizontal="center" vertical="center"/>
    </xf>
    <xf numFmtId="0" fontId="33" fillId="0" borderId="6" applyAlignment="1" pivotButton="0" quotePrefix="0" xfId="0">
      <alignment horizontal="center" vertical="center"/>
    </xf>
    <xf numFmtId="0" fontId="31" fillId="2" borderId="6" applyAlignment="1" pivotButton="0" quotePrefix="0" xfId="0">
      <alignment horizontal="general" vertical="center"/>
    </xf>
    <xf numFmtId="177" fontId="13" fillId="0" borderId="55" applyAlignment="1" pivotButton="0" quotePrefix="0" xfId="0">
      <alignment horizontal="center" vertical="center"/>
    </xf>
    <xf numFmtId="0" fontId="31" fillId="2" borderId="48" applyAlignment="1" pivotButton="0" quotePrefix="0" xfId="0">
      <alignment horizontal="general" vertical="center"/>
    </xf>
    <xf numFmtId="0" fontId="31" fillId="2" borderId="14" applyAlignment="1" pivotButton="0" quotePrefix="0" xfId="0">
      <alignment horizontal="general" vertical="center"/>
    </xf>
    <xf numFmtId="0" fontId="31" fillId="2" borderId="45" applyAlignment="1" pivotButton="0" quotePrefix="0" xfId="0">
      <alignment horizontal="general" vertical="center" shrinkToFit="1"/>
    </xf>
    <xf numFmtId="0" fontId="13" fillId="0" borderId="55" applyAlignment="1" pivotButton="0" quotePrefix="0" xfId="0">
      <alignment horizontal="center" vertical="center"/>
    </xf>
    <xf numFmtId="0" fontId="31" fillId="2" borderId="51" applyAlignment="1" pivotButton="0" quotePrefix="0" xfId="0">
      <alignment horizontal="general" vertical="center"/>
    </xf>
    <xf numFmtId="0" fontId="12" fillId="2" borderId="0" applyAlignment="1" pivotButton="0" quotePrefix="0" xfId="0">
      <alignment horizontal="general" vertical="center"/>
    </xf>
    <xf numFmtId="0" fontId="12" fillId="2" borderId="54" applyAlignment="1" pivotButton="0" quotePrefix="0" xfId="0">
      <alignment horizontal="general" vertical="center"/>
    </xf>
    <xf numFmtId="0" fontId="12" fillId="2" borderId="50" applyAlignment="1" pivotButton="0" quotePrefix="0" xfId="0">
      <alignment horizontal="general" vertical="center"/>
    </xf>
    <xf numFmtId="0" fontId="35" fillId="2" borderId="7" applyAlignment="1" pivotButton="0" quotePrefix="0" xfId="0">
      <alignment horizontal="center" vertical="center"/>
    </xf>
    <xf numFmtId="0" fontId="31" fillId="2" borderId="7" applyAlignment="1" pivotButton="0" quotePrefix="0" xfId="0">
      <alignment horizontal="center" vertical="center"/>
    </xf>
    <xf numFmtId="177" fontId="13" fillId="0" borderId="51" applyAlignment="1" pivotButton="0" quotePrefix="0" xfId="0">
      <alignment horizontal="center" vertical="center" shrinkToFit="1"/>
    </xf>
    <xf numFmtId="177" fontId="33" fillId="0" borderId="48" applyAlignment="1" pivotButton="0" quotePrefix="0" xfId="0">
      <alignment horizontal="center" vertical="center" shrinkToFit="1"/>
    </xf>
    <xf numFmtId="172" fontId="13" fillId="0" borderId="45" applyAlignment="1" pivotButton="0" quotePrefix="0" xfId="0">
      <alignment horizontal="center" vertical="center"/>
    </xf>
    <xf numFmtId="177" fontId="13" fillId="0" borderId="48" applyAlignment="1" pivotButton="0" quotePrefix="0" xfId="0">
      <alignment horizontal="center" vertical="center"/>
    </xf>
    <xf numFmtId="177" fontId="33" fillId="0" borderId="0" applyAlignment="1" pivotButton="0" quotePrefix="0" xfId="0">
      <alignment horizontal="center" vertical="center" shrinkToFit="1"/>
    </xf>
    <xf numFmtId="0" fontId="31" fillId="2" borderId="36" applyAlignment="1" pivotButton="0" quotePrefix="0" xfId="0">
      <alignment horizontal="general" vertical="center"/>
    </xf>
    <xf numFmtId="0" fontId="17" fillId="0" borderId="6" applyAlignment="1" pivotButton="0" quotePrefix="0" xfId="0">
      <alignment horizontal="center" vertical="center"/>
    </xf>
    <xf numFmtId="177" fontId="17" fillId="0" borderId="45" applyAlignment="1" pivotButton="0" quotePrefix="0" xfId="0">
      <alignment horizontal="center" vertical="center"/>
    </xf>
    <xf numFmtId="0" fontId="17" fillId="0" borderId="48" applyAlignment="1" pivotButton="0" quotePrefix="0" xfId="0">
      <alignment horizontal="center" vertical="center"/>
    </xf>
    <xf numFmtId="0" fontId="17" fillId="0" borderId="51" applyAlignment="1" pivotButton="0" quotePrefix="0" xfId="0">
      <alignment horizontal="center" vertical="center"/>
    </xf>
    <xf numFmtId="0" fontId="36" fillId="0" borderId="45" applyAlignment="1" pivotButton="0" quotePrefix="0" xfId="0">
      <alignment horizontal="center" vertical="center"/>
    </xf>
    <xf numFmtId="0" fontId="36" fillId="0" borderId="51" applyAlignment="1" pivotButton="0" quotePrefix="0" xfId="0">
      <alignment horizontal="center" vertical="center"/>
    </xf>
    <xf numFmtId="0" fontId="17" fillId="0" borderId="45" applyAlignment="1" pivotButton="0" quotePrefix="0" xfId="0">
      <alignment horizontal="center" vertical="center"/>
    </xf>
    <xf numFmtId="0" fontId="36" fillId="0" borderId="48" applyAlignment="1" pivotButton="0" quotePrefix="0" xfId="0">
      <alignment horizontal="center" vertical="center"/>
    </xf>
    <xf numFmtId="0" fontId="17" fillId="0" borderId="55" applyAlignment="1" pivotButton="0" quotePrefix="0" xfId="0">
      <alignment horizontal="center" vertical="center"/>
    </xf>
    <xf numFmtId="177" fontId="36" fillId="0" borderId="51" applyAlignment="1" pivotButton="0" quotePrefix="0" xfId="0">
      <alignment horizontal="center" vertical="center" shrinkToFit="1"/>
    </xf>
    <xf numFmtId="166" fontId="17" fillId="0" borderId="45" applyAlignment="1" pivotButton="0" quotePrefix="0" xfId="0">
      <alignment horizontal="center" vertical="center"/>
    </xf>
    <xf numFmtId="177" fontId="17" fillId="0" borderId="55" applyAlignment="1" pivotButton="0" quotePrefix="0" xfId="0">
      <alignment horizontal="center" vertical="center"/>
    </xf>
    <xf numFmtId="172" fontId="17" fillId="0" borderId="45" applyAlignment="1" pivotButton="0" quotePrefix="0" xfId="0">
      <alignment horizontal="center" vertical="center"/>
    </xf>
    <xf numFmtId="172" fontId="17" fillId="0" borderId="0" applyAlignment="1" pivotButton="0" quotePrefix="0" xfId="0">
      <alignment horizontal="center" vertical="center"/>
    </xf>
    <xf numFmtId="166" fontId="17" fillId="0" borderId="48" applyAlignment="1" pivotButton="0" quotePrefix="0" xfId="0">
      <alignment horizontal="center" vertical="center"/>
    </xf>
    <xf numFmtId="166" fontId="17" fillId="0" borderId="0" applyAlignment="1" pivotButton="0" quotePrefix="0" xfId="0">
      <alignment horizontal="center" vertical="center"/>
    </xf>
    <xf numFmtId="166" fontId="36" fillId="0" borderId="48" applyAlignment="1" pivotButton="0" quotePrefix="0" xfId="0">
      <alignment horizontal="center" vertical="center"/>
    </xf>
    <xf numFmtId="166" fontId="36" fillId="0" borderId="0" applyAlignment="1" pivotButton="0" quotePrefix="0" xfId="0">
      <alignment horizontal="center" vertical="center"/>
    </xf>
    <xf numFmtId="0" fontId="36" fillId="0" borderId="55" applyAlignment="1" pivotButton="0" quotePrefix="0" xfId="0">
      <alignment horizontal="center" vertical="center"/>
    </xf>
    <xf numFmtId="166" fontId="17" fillId="0" borderId="55" applyAlignment="1" pivotButton="0" quotePrefix="0" xfId="0">
      <alignment horizontal="center" vertical="center"/>
    </xf>
    <xf numFmtId="166" fontId="13" fillId="0" borderId="55" applyAlignment="1" pivotButton="0" quotePrefix="0" xfId="0">
      <alignment horizontal="center" vertical="center"/>
    </xf>
    <xf numFmtId="0" fontId="36" fillId="0" borderId="14" applyAlignment="1" pivotButton="0" quotePrefix="0" xfId="0">
      <alignment horizontal="center" vertical="center"/>
    </xf>
    <xf numFmtId="172" fontId="17" fillId="0" borderId="55" applyAlignment="1" pivotButton="0" quotePrefix="0" xfId="0">
      <alignment horizontal="center" vertical="center"/>
    </xf>
    <xf numFmtId="0" fontId="36" fillId="0" borderId="6" applyAlignment="1" pivotButton="0" quotePrefix="0" xfId="0">
      <alignment horizontal="center" vertical="center"/>
    </xf>
    <xf numFmtId="0" fontId="35" fillId="2" borderId="6" applyAlignment="1" pivotButton="0" quotePrefix="0" xfId="0">
      <alignment horizontal="center" vertical="center"/>
    </xf>
    <xf numFmtId="176" fontId="19" fillId="2" borderId="6" applyAlignment="1" pivotButton="0" quotePrefix="0" xfId="0">
      <alignment horizontal="center" vertical="center"/>
    </xf>
    <xf numFmtId="0" fontId="31" fillId="2" borderId="10" applyAlignment="1" pivotButton="0" quotePrefix="0" xfId="0">
      <alignment horizontal="general" vertical="center" wrapText="1"/>
    </xf>
    <xf numFmtId="177" fontId="17" fillId="0" borderId="51" applyAlignment="1" pivotButton="0" quotePrefix="0" xfId="0">
      <alignment horizontal="center" vertical="center" shrinkToFit="1"/>
    </xf>
    <xf numFmtId="0" fontId="31" fillId="2" borderId="6" applyAlignment="1" pivotButton="0" quotePrefix="0" xfId="0">
      <alignment horizontal="general" vertical="center" wrapText="1"/>
    </xf>
    <xf numFmtId="0" fontId="31" fillId="2" borderId="24" applyAlignment="1" pivotButton="0" quotePrefix="0" xfId="0">
      <alignment horizontal="general" vertical="center" wrapText="1"/>
    </xf>
    <xf numFmtId="166" fontId="36" fillId="0" borderId="51" applyAlignment="1" pivotButton="0" quotePrefix="0" xfId="0">
      <alignment horizontal="center" vertical="center"/>
    </xf>
    <xf numFmtId="0" fontId="31" fillId="2" borderId="6" applyAlignment="1" pivotButton="0" quotePrefix="0" xfId="0">
      <alignment horizontal="left" vertical="center" wrapText="1"/>
    </xf>
    <xf numFmtId="178" fontId="12" fillId="0" borderId="0" applyAlignment="1" pivotButton="0" quotePrefix="0" xfId="0">
      <alignment horizontal="right" vertical="center"/>
    </xf>
    <xf numFmtId="0" fontId="34" fillId="2" borderId="6" applyAlignment="1" pivotButton="0" quotePrefix="0" xfId="0">
      <alignment horizontal="left" vertical="center" wrapText="1"/>
    </xf>
    <xf numFmtId="177" fontId="17" fillId="0" borderId="0" applyAlignment="1" pivotButton="0" quotePrefix="0" xfId="0">
      <alignment horizontal="center" vertical="center"/>
    </xf>
    <xf numFmtId="0" fontId="17" fillId="0" borderId="0" applyAlignment="1" pivotButton="0" quotePrefix="0" xfId="0">
      <alignment horizontal="center" vertical="center"/>
    </xf>
    <xf numFmtId="0" fontId="36" fillId="0" borderId="0" applyAlignment="1" pivotButton="0" quotePrefix="0" xfId="0">
      <alignment horizontal="center" vertical="center"/>
    </xf>
    <xf numFmtId="2" fontId="17" fillId="0" borderId="55" applyAlignment="1" pivotButton="0" quotePrefix="0" xfId="0">
      <alignment horizontal="center" vertical="center"/>
    </xf>
    <xf numFmtId="0" fontId="31" fillId="2" borderId="6" applyAlignment="1" pivotButton="0" quotePrefix="0" xfId="0">
      <alignment horizontal="left" vertical="center"/>
    </xf>
    <xf numFmtId="0" fontId="12" fillId="2" borderId="0" applyAlignment="1" pivotButton="0" quotePrefix="0" xfId="0">
      <alignment horizontal="center" vertical="center"/>
    </xf>
    <xf numFmtId="49" fontId="12" fillId="2" borderId="0" applyAlignment="1" pivotButton="0" quotePrefix="0" xfId="0">
      <alignment horizontal="general" vertical="center"/>
    </xf>
    <xf numFmtId="49" fontId="12" fillId="0" borderId="0" applyAlignment="1" pivotButton="0" quotePrefix="0" xfId="0">
      <alignment horizontal="general" vertical="center"/>
    </xf>
    <xf numFmtId="0" fontId="12" fillId="0" borderId="0" applyAlignment="1" pivotButton="0" quotePrefix="0" xfId="0">
      <alignment horizontal="general" vertical="center"/>
    </xf>
    <xf numFmtId="0" fontId="33" fillId="2" borderId="6" applyAlignment="1" pivotButton="0" quotePrefix="0" xfId="0">
      <alignment horizontal="center" vertical="center" textRotation="255"/>
    </xf>
    <xf numFmtId="0" fontId="12" fillId="2" borderId="10" applyAlignment="1" pivotButton="0" quotePrefix="0" xfId="0">
      <alignment horizontal="center" vertical="center" shrinkToFit="1"/>
    </xf>
    <xf numFmtId="0" fontId="19" fillId="2" borderId="10" applyAlignment="1" pivotButton="0" quotePrefix="0" xfId="0">
      <alignment horizontal="center" vertical="center"/>
    </xf>
    <xf numFmtId="0" fontId="31" fillId="2" borderId="58" applyAlignment="1" pivotButton="0" quotePrefix="0" xfId="0">
      <alignment horizontal="center" vertical="center" shrinkToFit="1"/>
    </xf>
    <xf numFmtId="0" fontId="19" fillId="2" borderId="58" applyAlignment="1" pivotButton="0" quotePrefix="0" xfId="0">
      <alignment horizontal="center" vertical="center"/>
    </xf>
    <xf numFmtId="0" fontId="12" fillId="2" borderId="6" applyAlignment="1" pivotButton="0" quotePrefix="0" xfId="0">
      <alignment horizontal="center" vertical="center" shrinkToFit="1"/>
    </xf>
    <xf numFmtId="2" fontId="19" fillId="2" borderId="6" applyAlignment="1" pivotButton="0" quotePrefix="0" xfId="0">
      <alignment horizontal="center" vertical="center"/>
    </xf>
    <xf numFmtId="2" fontId="12" fillId="2" borderId="6" applyAlignment="1" pivotButton="0" quotePrefix="0" xfId="0">
      <alignment horizontal="center" vertical="center"/>
    </xf>
    <xf numFmtId="172" fontId="19" fillId="2" borderId="10" applyAlignment="1" pivotButton="0" quotePrefix="0" xfId="0">
      <alignment horizontal="center" vertical="center"/>
    </xf>
    <xf numFmtId="172" fontId="12" fillId="2" borderId="10" applyAlignment="1" pivotButton="0" quotePrefix="0" xfId="0">
      <alignment horizontal="center" vertical="center"/>
    </xf>
    <xf numFmtId="0" fontId="31" fillId="2" borderId="10" applyAlignment="1" pivotButton="0" quotePrefix="0" xfId="0">
      <alignment horizontal="center" vertical="center" shrinkToFit="1"/>
    </xf>
    <xf numFmtId="49" fontId="31" fillId="0" borderId="0" applyAlignment="1" pivotButton="0" quotePrefix="0" xfId="0">
      <alignment horizontal="general" vertical="center"/>
    </xf>
    <xf numFmtId="172" fontId="19" fillId="2" borderId="58" applyAlignment="1" pivotButton="0" quotePrefix="0" xfId="0">
      <alignment horizontal="center" vertical="center"/>
    </xf>
    <xf numFmtId="172" fontId="12" fillId="2" borderId="58" applyAlignment="1" pivotButton="0" quotePrefix="0" xfId="0">
      <alignment horizontal="center" vertical="center"/>
    </xf>
    <xf numFmtId="0" fontId="35" fillId="2" borderId="10" applyAlignment="1" pivotButton="0" quotePrefix="0" xfId="0">
      <alignment horizontal="center" vertical="center"/>
    </xf>
    <xf numFmtId="0" fontId="31" fillId="2" borderId="10" applyAlignment="1" pivotButton="0" quotePrefix="0" xfId="0">
      <alignment horizontal="center" vertical="center"/>
    </xf>
    <xf numFmtId="0" fontId="35" fillId="2" borderId="58" applyAlignment="1" pivotButton="0" quotePrefix="0" xfId="0">
      <alignment horizontal="center" vertical="center"/>
    </xf>
    <xf numFmtId="0" fontId="31" fillId="2" borderId="58" applyAlignment="1" pivotButton="0" quotePrefix="0" xfId="0">
      <alignment horizontal="center" vertical="center"/>
    </xf>
    <xf numFmtId="0" fontId="28" fillId="2" borderId="6" applyAlignment="1" pivotButton="0" quotePrefix="0" xfId="0">
      <alignment horizontal="center" vertical="center" shrinkToFit="1"/>
    </xf>
    <xf numFmtId="0" fontId="31" fillId="2" borderId="10" applyAlignment="1" pivotButton="0" quotePrefix="0" xfId="0">
      <alignment horizontal="general" vertical="center"/>
    </xf>
    <xf numFmtId="177" fontId="12" fillId="2" borderId="10" applyAlignment="1" pivotButton="0" quotePrefix="0" xfId="0">
      <alignment horizontal="center" vertical="center"/>
    </xf>
    <xf numFmtId="0" fontId="33" fillId="2" borderId="6" applyAlignment="1" pivotButton="0" quotePrefix="0" xfId="0">
      <alignment horizontal="right" vertical="center" textRotation="255"/>
    </xf>
    <xf numFmtId="0" fontId="19" fillId="2" borderId="58" applyAlignment="1" applyProtection="1" pivotButton="0" quotePrefix="0" xfId="0">
      <alignment horizontal="center" vertical="center"/>
      <protection locked="0" hidden="0"/>
    </xf>
    <xf numFmtId="0" fontId="12" fillId="2" borderId="29" applyAlignment="1" pivotButton="0" quotePrefix="0" xfId="0">
      <alignment horizontal="center" vertical="center" shrinkToFit="1"/>
    </xf>
    <xf numFmtId="172" fontId="19" fillId="2" borderId="29" applyAlignment="1" pivotButton="0" quotePrefix="0" xfId="0">
      <alignment horizontal="center" vertical="center"/>
    </xf>
    <xf numFmtId="172" fontId="12" fillId="2" borderId="29" applyAlignment="1" pivotButton="0" quotePrefix="0" xfId="0">
      <alignment horizontal="center" vertical="center"/>
    </xf>
    <xf numFmtId="0" fontId="31" fillId="2" borderId="14" applyAlignment="1" pivotButton="0" quotePrefix="0" xfId="0">
      <alignment horizontal="center" vertical="center" shrinkToFit="1"/>
    </xf>
    <xf numFmtId="0" fontId="19" fillId="2" borderId="24" applyAlignment="1" pivotButton="0" quotePrefix="0" xfId="0">
      <alignment horizontal="center" vertical="center"/>
    </xf>
    <xf numFmtId="0" fontId="19" fillId="2" borderId="6" applyAlignment="1" pivotButton="0" quotePrefix="0" xfId="0">
      <alignment horizontal="center" vertical="center"/>
    </xf>
    <xf numFmtId="0" fontId="31" fillId="2" borderId="6" applyAlignment="1" pivotButton="0" quotePrefix="0" xfId="0">
      <alignment horizontal="center" vertical="center" shrinkToFit="1"/>
    </xf>
    <xf numFmtId="0" fontId="31" fillId="2" borderId="29" applyAlignment="1" pivotButton="0" quotePrefix="0" xfId="0">
      <alignment horizontal="center" vertical="center" shrinkToFit="1"/>
    </xf>
    <xf numFmtId="169" fontId="19" fillId="2" borderId="29" applyAlignment="1" pivotButton="0" quotePrefix="0" xfId="0">
      <alignment horizontal="center" vertical="center"/>
    </xf>
    <xf numFmtId="169" fontId="12" fillId="2" borderId="29" applyAlignment="1" pivotButton="0" quotePrefix="0" xfId="0">
      <alignment horizontal="center" vertical="center"/>
    </xf>
    <xf numFmtId="169" fontId="12" fillId="2" borderId="58" applyAlignment="1" pivotButton="0" quotePrefix="0" xfId="0">
      <alignment horizontal="center" vertical="center"/>
    </xf>
    <xf numFmtId="0" fontId="19" fillId="2" borderId="29" applyAlignment="1" pivotButton="0" quotePrefix="0" xfId="0">
      <alignment horizontal="center" vertical="center"/>
    </xf>
    <xf numFmtId="0" fontId="12" fillId="2" borderId="29" applyAlignment="1" pivotButton="0" quotePrefix="0" xfId="0">
      <alignment horizontal="center" vertical="center"/>
    </xf>
    <xf numFmtId="0" fontId="12" fillId="2" borderId="58" applyAlignment="1" pivotButton="0" quotePrefix="0" xfId="0">
      <alignment horizontal="center" vertical="center"/>
    </xf>
    <xf numFmtId="0" fontId="12" fillId="2" borderId="6" applyAlignment="1" pivotButton="0" quotePrefix="0" xfId="0">
      <alignment horizontal="general" vertical="center"/>
    </xf>
    <xf numFmtId="0" fontId="31" fillId="2" borderId="6" applyAlignment="1" pivotButton="0" quotePrefix="0" xfId="0">
      <alignment horizontal="right" vertical="center" textRotation="255"/>
    </xf>
    <xf numFmtId="0" fontId="12" fillId="2" borderId="59" applyAlignment="1" pivotButton="0" quotePrefix="0" xfId="0">
      <alignment horizontal="general" vertical="center"/>
    </xf>
    <xf numFmtId="0" fontId="31" fillId="2" borderId="26" applyAlignment="1" pivotButton="0" quotePrefix="0" xfId="0">
      <alignment horizontal="general" vertical="center"/>
    </xf>
    <xf numFmtId="0" fontId="31" fillId="2" borderId="20" applyAlignment="1" pivotButton="0" quotePrefix="0" xfId="0">
      <alignment horizontal="general" vertical="center"/>
    </xf>
    <xf numFmtId="0" fontId="12" fillId="2" borderId="60" applyAlignment="1" pivotButton="0" quotePrefix="0" xfId="0">
      <alignment horizontal="center" vertical="center"/>
    </xf>
    <xf numFmtId="0" fontId="12" fillId="2" borderId="23" applyAlignment="1" pivotButton="0" quotePrefix="0" xfId="0">
      <alignment horizontal="center" vertical="center"/>
    </xf>
    <xf numFmtId="0" fontId="31" fillId="2" borderId="41" applyAlignment="1" pivotButton="0" quotePrefix="0" xfId="0">
      <alignment horizontal="general" vertical="center"/>
    </xf>
    <xf numFmtId="0" fontId="0" fillId="0" borderId="61" pivotButton="0" quotePrefix="0" xfId="0"/>
    <xf numFmtId="0" fontId="31" fillId="2" borderId="61" applyAlignment="1" pivotButton="0" quotePrefix="0" xfId="0">
      <alignment horizontal="center" vertical="center"/>
    </xf>
    <xf numFmtId="166" fontId="12" fillId="2" borderId="58" applyAlignment="1" pivotButton="0" quotePrefix="0" xfId="0">
      <alignment horizontal="center" vertical="center"/>
    </xf>
    <xf numFmtId="0" fontId="12" fillId="2" borderId="6" applyAlignment="1" pivotButton="0" quotePrefix="0" xfId="0">
      <alignment horizontal="general" vertical="center" wrapText="1"/>
    </xf>
    <xf numFmtId="0" fontId="31" fillId="2" borderId="16" applyAlignment="1" pivotButton="0" quotePrefix="0" xfId="0">
      <alignment horizontal="general" vertical="center"/>
    </xf>
    <xf numFmtId="0" fontId="12" fillId="2" borderId="62" applyAlignment="1" pivotButton="0" quotePrefix="0" xfId="0">
      <alignment horizontal="center" vertical="center"/>
    </xf>
    <xf numFmtId="0" fontId="31" fillId="2" borderId="19" applyAlignment="1" pivotButton="0" quotePrefix="0" xfId="0">
      <alignment horizontal="general" vertical="center"/>
    </xf>
    <xf numFmtId="0" fontId="0" fillId="0" borderId="66" pivotButton="0" quotePrefix="0" xfId="0"/>
    <xf numFmtId="0" fontId="12" fillId="2" borderId="63" applyAlignment="1" pivotButton="0" quotePrefix="0" xfId="0">
      <alignment horizontal="center" vertical="center"/>
    </xf>
    <xf numFmtId="0" fontId="31" fillId="2" borderId="22" applyAlignment="1" pivotButton="0" quotePrefix="0" xfId="0">
      <alignment horizontal="general" vertical="center"/>
    </xf>
    <xf numFmtId="0" fontId="31" fillId="2" borderId="64" applyAlignment="1" pivotButton="0" quotePrefix="0" xfId="0">
      <alignment horizontal="center" vertical="center"/>
    </xf>
    <xf numFmtId="166" fontId="12" fillId="2" borderId="34" applyAlignment="1" pivotButton="0" quotePrefix="0" xfId="0">
      <alignment horizontal="center" vertical="center"/>
    </xf>
    <xf numFmtId="0" fontId="12" fillId="2" borderId="65" applyAlignment="1" pivotButton="0" quotePrefix="0" xfId="0">
      <alignment horizontal="center" vertical="center"/>
    </xf>
    <xf numFmtId="0" fontId="12" fillId="2" borderId="66" applyAlignment="1" pivotButton="0" quotePrefix="0" xfId="0">
      <alignment horizontal="center" vertical="center"/>
    </xf>
    <xf numFmtId="0" fontId="31" fillId="2" borderId="66" applyAlignment="1" pivotButton="0" quotePrefix="0" xfId="0">
      <alignment horizontal="center" vertical="center"/>
    </xf>
    <xf numFmtId="166" fontId="19" fillId="2" borderId="30" applyAlignment="1" pivotButton="0" quotePrefix="0" xfId="0">
      <alignment horizontal="center" vertical="center"/>
    </xf>
    <xf numFmtId="0" fontId="31" fillId="2" borderId="67" applyAlignment="1" pivotButton="0" quotePrefix="0" xfId="0">
      <alignment horizontal="center" vertical="center"/>
    </xf>
    <xf numFmtId="168" fontId="4" fillId="0" borderId="30" applyAlignment="1" pivotButton="0" quotePrefix="0" xfId="0">
      <alignment horizontal="center" vertical="bottom"/>
    </xf>
    <xf numFmtId="0" fontId="12" fillId="2" borderId="68" applyAlignment="1" pivotButton="0" quotePrefix="0" xfId="0">
      <alignment horizontal="center" vertical="center"/>
    </xf>
    <xf numFmtId="0" fontId="12" fillId="2" borderId="69" applyAlignment="1" pivotButton="0" quotePrefix="0" xfId="0">
      <alignment horizontal="center" vertical="center"/>
    </xf>
    <xf numFmtId="0" fontId="12" fillId="2" borderId="40" applyAlignment="1" pivotButton="0" quotePrefix="0" xfId="0">
      <alignment horizontal="center" vertical="center"/>
    </xf>
    <xf numFmtId="0" fontId="12" fillId="2" borderId="19" applyAlignment="1" pivotButton="0" quotePrefix="0" xfId="0">
      <alignment horizontal="general" vertical="center" shrinkToFit="1"/>
    </xf>
    <xf numFmtId="0" fontId="31" fillId="2" borderId="70" applyAlignment="1" pivotButton="0" quotePrefix="0" xfId="0">
      <alignment horizontal="center" vertical="center"/>
    </xf>
    <xf numFmtId="170" fontId="12" fillId="2" borderId="30" applyAlignment="1" pivotButton="0" quotePrefix="0" xfId="0">
      <alignment horizontal="center" vertical="center"/>
    </xf>
    <xf numFmtId="0" fontId="31" fillId="2" borderId="50" applyAlignment="1" pivotButton="0" quotePrefix="0" xfId="0">
      <alignment horizontal="center" vertical="center"/>
    </xf>
    <xf numFmtId="169" fontId="4" fillId="0" borderId="34" applyAlignment="1" pivotButton="0" quotePrefix="0" xfId="0">
      <alignment horizontal="center" vertical="bottom"/>
    </xf>
    <xf numFmtId="0" fontId="12" fillId="2" borderId="71" applyAlignment="1" pivotButton="0" quotePrefix="0" xfId="0">
      <alignment horizontal="center" vertical="center"/>
    </xf>
    <xf numFmtId="0" fontId="12" fillId="2" borderId="72" applyAlignment="1" pivotButton="0" quotePrefix="0" xfId="0">
      <alignment horizontal="center" vertical="center"/>
    </xf>
    <xf numFmtId="168" fontId="4" fillId="0" borderId="34" applyAlignment="1" pivotButton="0" quotePrefix="0" xfId="0">
      <alignment horizontal="center" vertical="bottom"/>
    </xf>
    <xf numFmtId="0" fontId="31" fillId="2" borderId="10" applyAlignment="1" pivotButton="0" quotePrefix="0" xfId="0">
      <alignment horizontal="general" vertical="bottom" shrinkToFit="1"/>
    </xf>
    <xf numFmtId="0" fontId="12" fillId="2" borderId="24" applyAlignment="1" pivotButton="0" quotePrefix="0" xfId="0">
      <alignment horizontal="center" vertical="center"/>
    </xf>
    <xf numFmtId="0" fontId="31" fillId="2" borderId="14" applyAlignment="1" pivotButton="0" quotePrefix="0" xfId="0">
      <alignment horizontal="general" vertical="top" shrinkToFit="1"/>
    </xf>
    <xf numFmtId="0" fontId="12" fillId="2" borderId="70" applyAlignment="1" pivotButton="0" quotePrefix="0" xfId="0">
      <alignment horizontal="center" vertical="center"/>
    </xf>
    <xf numFmtId="175" fontId="12" fillId="2" borderId="73" applyAlignment="1" pivotButton="0" quotePrefix="0" xfId="0">
      <alignment horizontal="center" vertical="center"/>
    </xf>
    <xf numFmtId="170" fontId="12" fillId="2" borderId="34" applyAlignment="1" pivotButton="0" quotePrefix="0" xfId="0">
      <alignment horizontal="center" vertical="center"/>
    </xf>
    <xf numFmtId="170" fontId="12" fillId="2" borderId="73" applyAlignment="1" pivotButton="0" quotePrefix="0" xfId="0">
      <alignment horizontal="center" vertical="center"/>
    </xf>
    <xf numFmtId="0" fontId="12" fillId="2" borderId="65" applyAlignment="1" pivotButton="0" quotePrefix="0" xfId="0">
      <alignment horizontal="general" vertical="center"/>
    </xf>
    <xf numFmtId="0" fontId="12" fillId="2" borderId="66" applyAlignment="1" pivotButton="0" quotePrefix="0" xfId="0">
      <alignment horizontal="general" vertical="center"/>
    </xf>
    <xf numFmtId="0" fontId="12" fillId="2" borderId="67" applyAlignment="1" pivotButton="0" quotePrefix="0" xfId="0">
      <alignment horizontal="general" vertical="center"/>
    </xf>
    <xf numFmtId="0" fontId="34" fillId="2" borderId="6" applyAlignment="1" pivotButton="0" quotePrefix="0" xfId="0">
      <alignment horizontal="right" vertical="center" textRotation="255" shrinkToFit="1"/>
    </xf>
    <xf numFmtId="0" fontId="12" fillId="2" borderId="64" applyAlignment="1" pivotButton="0" quotePrefix="0" xfId="0">
      <alignment horizontal="center" vertical="center"/>
    </xf>
    <xf numFmtId="0" fontId="12" fillId="2" borderId="34" applyAlignment="1" pivotButton="0" quotePrefix="0" xfId="0">
      <alignment horizontal="center" vertical="center"/>
    </xf>
    <xf numFmtId="0" fontId="13" fillId="2" borderId="36" applyAlignment="1" pivotButton="0" quotePrefix="0" xfId="0">
      <alignment horizontal="right" vertical="center" textRotation="255"/>
    </xf>
    <xf numFmtId="0" fontId="12" fillId="2" borderId="36" applyAlignment="1" pivotButton="0" quotePrefix="0" xfId="0">
      <alignment horizontal="center" vertical="center"/>
    </xf>
    <xf numFmtId="177" fontId="19" fillId="2" borderId="10" applyAlignment="1" pivotButton="0" quotePrefix="0" xfId="0">
      <alignment horizontal="center" vertical="center"/>
    </xf>
    <xf numFmtId="172" fontId="35" fillId="2" borderId="58" applyAlignment="1" pivotButton="0" quotePrefix="0" xfId="0">
      <alignment horizontal="center" vertical="center"/>
    </xf>
    <xf numFmtId="169" fontId="19" fillId="2" borderId="58" applyAlignment="1" pivotButton="0" quotePrefix="0" xfId="0">
      <alignment horizontal="center" vertical="center"/>
    </xf>
    <xf numFmtId="0" fontId="19" fillId="2" borderId="23" applyAlignment="1" pivotButton="0" quotePrefix="0" xfId="0">
      <alignment horizontal="center" vertical="center"/>
    </xf>
    <xf numFmtId="166" fontId="19" fillId="2" borderId="58" applyAlignment="1" pivotButton="0" quotePrefix="0" xfId="0">
      <alignment horizontal="center" vertical="center"/>
    </xf>
    <xf numFmtId="166" fontId="19" fillId="2" borderId="34" applyAlignment="1" pivotButton="0" quotePrefix="0" xfId="0">
      <alignment horizontal="center" vertical="center"/>
    </xf>
    <xf numFmtId="166" fontId="12" fillId="2" borderId="30" applyAlignment="1" pivotButton="0" quotePrefix="0" xfId="0">
      <alignment horizontal="center" vertical="center"/>
    </xf>
    <xf numFmtId="0" fontId="19" fillId="2" borderId="40" applyAlignment="1" pivotButton="0" quotePrefix="0" xfId="0">
      <alignment horizontal="center" vertical="center"/>
    </xf>
    <xf numFmtId="170" fontId="19" fillId="2" borderId="30" applyAlignment="1" pivotButton="0" quotePrefix="0" xfId="0">
      <alignment horizontal="center" vertical="center"/>
    </xf>
    <xf numFmtId="0" fontId="19" fillId="2" borderId="71" applyAlignment="1" pivotButton="0" quotePrefix="0" xfId="0">
      <alignment horizontal="center" vertical="center"/>
    </xf>
    <xf numFmtId="0" fontId="19" fillId="2" borderId="72" applyAlignment="1" pivotButton="0" quotePrefix="0" xfId="0">
      <alignment horizontal="center" vertical="center"/>
    </xf>
    <xf numFmtId="175" fontId="19" fillId="2" borderId="73" applyAlignment="1" pivotButton="0" quotePrefix="0" xfId="0">
      <alignment horizontal="center" vertical="center"/>
    </xf>
    <xf numFmtId="170" fontId="19" fillId="2" borderId="34" applyAlignment="1" pivotButton="0" quotePrefix="0" xfId="0">
      <alignment horizontal="center" vertical="center"/>
    </xf>
    <xf numFmtId="170" fontId="19" fillId="2" borderId="73" applyAlignment="1" pivotButton="0" quotePrefix="0" xfId="0">
      <alignment horizontal="center" vertical="center"/>
    </xf>
    <xf numFmtId="0" fontId="19" fillId="2" borderId="34" applyAlignment="1" pivotButton="0" quotePrefix="0" xfId="0">
      <alignment horizontal="center" vertical="center"/>
    </xf>
    <xf numFmtId="0" fontId="21" fillId="2" borderId="10" applyAlignment="1" pivotButton="0" quotePrefix="0" xfId="0">
      <alignment horizontal="center" vertical="center"/>
    </xf>
    <xf numFmtId="0" fontId="21" fillId="2" borderId="58" applyAlignment="1" pivotButton="0" quotePrefix="0" xfId="0">
      <alignment horizontal="center" vertical="center"/>
    </xf>
    <xf numFmtId="2" fontId="21" fillId="2" borderId="6" applyAlignment="1" pivotButton="0" quotePrefix="0" xfId="0">
      <alignment horizontal="center" vertical="center"/>
    </xf>
    <xf numFmtId="172" fontId="21" fillId="2" borderId="10" applyAlignment="1" pivotButton="0" quotePrefix="0" xfId="0">
      <alignment horizontal="center" vertical="center"/>
    </xf>
    <xf numFmtId="172" fontId="21" fillId="2" borderId="58" applyAlignment="1" pivotButton="0" quotePrefix="0" xfId="0">
      <alignment horizontal="center" vertical="center"/>
    </xf>
    <xf numFmtId="172" fontId="21" fillId="2" borderId="29" applyAlignment="1" pivotButton="0" quotePrefix="0" xfId="0">
      <alignment horizontal="center" vertical="center"/>
    </xf>
    <xf numFmtId="49" fontId="12" fillId="2" borderId="58" applyAlignment="1" applyProtection="1" pivotButton="0" quotePrefix="0" xfId="0">
      <alignment horizontal="center" vertical="center"/>
      <protection locked="0" hidden="0"/>
    </xf>
    <xf numFmtId="49" fontId="21" fillId="2" borderId="58" applyAlignment="1" applyProtection="1" pivotButton="0" quotePrefix="0" xfId="0">
      <alignment horizontal="center" vertical="center"/>
      <protection locked="0" hidden="0"/>
    </xf>
    <xf numFmtId="169" fontId="21" fillId="2" borderId="29" applyAlignment="1" pivotButton="0" quotePrefix="0" xfId="0">
      <alignment horizontal="center" vertical="center"/>
    </xf>
    <xf numFmtId="0" fontId="21" fillId="2" borderId="29" applyAlignment="1" pivotButton="0" quotePrefix="0" xfId="0">
      <alignment horizontal="center" vertical="center"/>
    </xf>
    <xf numFmtId="0" fontId="31" fillId="2" borderId="60" applyAlignment="1" pivotButton="0" quotePrefix="0" xfId="0">
      <alignment horizontal="general" vertical="center"/>
    </xf>
    <xf numFmtId="0" fontId="31" fillId="2" borderId="74" applyAlignment="1" pivotButton="0" quotePrefix="0" xfId="0">
      <alignment horizontal="general" vertical="center"/>
    </xf>
    <xf numFmtId="0" fontId="0" fillId="0" borderId="148" pivotButton="0" quotePrefix="0" xfId="0"/>
    <xf numFmtId="0" fontId="12" fillId="2" borderId="73" applyAlignment="1" pivotButton="0" quotePrefix="0" xfId="0">
      <alignment horizontal="center" vertical="center"/>
    </xf>
    <xf numFmtId="170" fontId="12" fillId="2" borderId="75" applyAlignment="1" pivotButton="0" quotePrefix="0" xfId="0">
      <alignment horizontal="center" vertical="center"/>
    </xf>
    <xf numFmtId="169" fontId="4" fillId="0" borderId="49" applyAlignment="1" pivotButton="0" quotePrefix="0" xfId="0">
      <alignment horizontal="center" vertical="bottom"/>
    </xf>
    <xf numFmtId="0" fontId="34" fillId="2" borderId="10" applyAlignment="1" pivotButton="0" quotePrefix="0" xfId="0">
      <alignment horizontal="right" vertical="center" textRotation="255" shrinkToFit="1"/>
    </xf>
    <xf numFmtId="49" fontId="19" fillId="2" borderId="58" applyAlignment="1" applyProtection="1" pivotButton="0" quotePrefix="0" xfId="0">
      <alignment horizontal="center" vertical="center"/>
      <protection locked="0" hidden="0"/>
    </xf>
    <xf numFmtId="0" fontId="4" fillId="0" borderId="0" applyAlignment="1" pivotButton="0" quotePrefix="0" xfId="0">
      <alignment horizontal="center" vertical="bottom"/>
    </xf>
    <xf numFmtId="0" fontId="30" fillId="0" borderId="0" applyAlignment="1" pivotButton="0" quotePrefix="0" xfId="0">
      <alignment horizontal="general" vertical="bottom"/>
    </xf>
    <xf numFmtId="0" fontId="37" fillId="0" borderId="0" applyAlignment="1" pivotButton="0" quotePrefix="0" xfId="0">
      <alignment horizontal="right" vertical="bottom"/>
    </xf>
    <xf numFmtId="0" fontId="27" fillId="2" borderId="76" applyAlignment="1" pivotButton="0" quotePrefix="0" xfId="0">
      <alignment horizontal="center" vertical="bottom" textRotation="255"/>
    </xf>
    <xf numFmtId="0" fontId="27" fillId="2" borderId="77" applyAlignment="1" pivotButton="0" quotePrefix="0" xfId="0">
      <alignment horizontal="center" vertical="bottom" textRotation="255"/>
    </xf>
    <xf numFmtId="0" fontId="28" fillId="2" borderId="3" applyAlignment="1" pivotButton="0" quotePrefix="0" xfId="0">
      <alignment horizontal="center" vertical="center" wrapText="1"/>
    </xf>
    <xf numFmtId="0" fontId="28" fillId="2" borderId="3" applyAlignment="1" pivotButton="0" quotePrefix="0" xfId="0">
      <alignment horizontal="center" vertical="center"/>
    </xf>
    <xf numFmtId="0" fontId="4" fillId="2" borderId="3" applyAlignment="1" pivotButton="0" quotePrefix="0" xfId="0">
      <alignment horizontal="center" vertical="center"/>
    </xf>
    <xf numFmtId="0" fontId="0" fillId="0" borderId="135" pivotButton="0" quotePrefix="0" xfId="0"/>
    <xf numFmtId="0" fontId="28" fillId="2" borderId="4" applyAlignment="1" pivotButton="0" quotePrefix="0" xfId="0">
      <alignment horizontal="center" vertical="center" wrapText="1"/>
    </xf>
    <xf numFmtId="0" fontId="0" fillId="0" borderId="159" pivotButton="0" quotePrefix="0" xfId="0"/>
    <xf numFmtId="0" fontId="28" fillId="2" borderId="6" applyAlignment="1" pivotButton="0" quotePrefix="0" xfId="0">
      <alignment horizontal="center" vertical="center"/>
    </xf>
    <xf numFmtId="0" fontId="0" fillId="0" borderId="25" pivotButton="0" quotePrefix="0" xfId="0"/>
    <xf numFmtId="0" fontId="0" fillId="0" borderId="15" pivotButton="0" quotePrefix="0" xfId="0"/>
    <xf numFmtId="0" fontId="0" fillId="0" borderId="160" pivotButton="0" quotePrefix="0" xfId="0"/>
    <xf numFmtId="0" fontId="0" fillId="0" borderId="107" pivotButton="0" quotePrefix="0" xfId="0"/>
    <xf numFmtId="0" fontId="4" fillId="2" borderId="78" applyAlignment="1" pivotButton="0" quotePrefix="0" xfId="0">
      <alignment horizontal="center" vertical="bottom"/>
    </xf>
    <xf numFmtId="0" fontId="28" fillId="2" borderId="78" applyAlignment="1" pivotButton="0" quotePrefix="0" xfId="0">
      <alignment horizontal="center" vertical="bottom"/>
    </xf>
    <xf numFmtId="0" fontId="0" fillId="0" borderId="123" pivotButton="0" quotePrefix="0" xfId="0"/>
    <xf numFmtId="0" fontId="28" fillId="2" borderId="79" applyAlignment="1" pivotButton="0" quotePrefix="0" xfId="0">
      <alignment horizontal="center" vertical="bottom"/>
    </xf>
    <xf numFmtId="179" fontId="4" fillId="0" borderId="13" applyAlignment="1" pivotButton="0" quotePrefix="0" xfId="0">
      <alignment horizontal="center" vertical="center"/>
    </xf>
    <xf numFmtId="180" fontId="4" fillId="0" borderId="49" applyAlignment="1" pivotButton="0" quotePrefix="0" xfId="0">
      <alignment horizontal="center" vertical="center"/>
    </xf>
    <xf numFmtId="165" fontId="4" fillId="0" borderId="80" applyAlignment="1" pivotButton="0" quotePrefix="0" xfId="0">
      <alignment horizontal="center" vertical="bottom"/>
    </xf>
    <xf numFmtId="165" fontId="4" fillId="0" borderId="14" applyAlignment="1" pivotButton="0" quotePrefix="0" xfId="0">
      <alignment horizontal="center" vertical="bottom"/>
    </xf>
    <xf numFmtId="172" fontId="4" fillId="0" borderId="14" applyAlignment="1" pivotButton="0" quotePrefix="0" xfId="0">
      <alignment horizontal="center" vertical="bottom"/>
    </xf>
    <xf numFmtId="2" fontId="4" fillId="0" borderId="14" applyAlignment="1" pivotButton="0" quotePrefix="0" xfId="0">
      <alignment horizontal="center" vertical="bottom"/>
    </xf>
    <xf numFmtId="0" fontId="4" fillId="0" borderId="14" applyAlignment="1" pivotButton="0" quotePrefix="0" xfId="0">
      <alignment horizontal="center" vertical="bottom"/>
    </xf>
    <xf numFmtId="168" fontId="4" fillId="0" borderId="14" applyAlignment="1" pivotButton="0" quotePrefix="0" xfId="0">
      <alignment horizontal="center" vertical="bottom"/>
    </xf>
    <xf numFmtId="169" fontId="4" fillId="0" borderId="14" applyAlignment="1" pivotButton="0" quotePrefix="0" xfId="0">
      <alignment horizontal="center" vertical="bottom"/>
    </xf>
    <xf numFmtId="170" fontId="4" fillId="0" borderId="15" applyAlignment="1" pivotButton="0" quotePrefix="0" xfId="0">
      <alignment horizontal="center" vertical="bottom"/>
    </xf>
    <xf numFmtId="168" fontId="4" fillId="0" borderId="0" applyAlignment="1" pivotButton="0" quotePrefix="0" xfId="0">
      <alignment horizontal="center" vertical="bottom"/>
    </xf>
    <xf numFmtId="169" fontId="4" fillId="0" borderId="0" applyAlignment="1" pivotButton="0" quotePrefix="0" xfId="0">
      <alignment horizontal="center" vertical="bottom"/>
    </xf>
    <xf numFmtId="170" fontId="4" fillId="0" borderId="0" applyAlignment="1" pivotButton="0" quotePrefix="0" xfId="0">
      <alignment horizontal="center" vertical="bottom"/>
    </xf>
    <xf numFmtId="179" fontId="4" fillId="0" borderId="5" applyAlignment="1" pivotButton="0" quotePrefix="0" xfId="0">
      <alignment horizontal="center" vertical="center"/>
    </xf>
    <xf numFmtId="180" fontId="4" fillId="0" borderId="7" applyAlignment="1" pivotButton="0" quotePrefix="0" xfId="0">
      <alignment horizontal="center" vertical="center"/>
    </xf>
    <xf numFmtId="165" fontId="4" fillId="0" borderId="81" applyAlignment="1" pivotButton="0" quotePrefix="0" xfId="0">
      <alignment horizontal="center" vertical="bottom"/>
    </xf>
    <xf numFmtId="165" fontId="4" fillId="0" borderId="7" applyAlignment="1" pivotButton="0" quotePrefix="0" xfId="0">
      <alignment horizontal="center" vertical="bottom"/>
    </xf>
    <xf numFmtId="165" fontId="4" fillId="0" borderId="6" applyAlignment="1" pivotButton="0" quotePrefix="0" xfId="0">
      <alignment horizontal="center" vertical="bottom"/>
    </xf>
    <xf numFmtId="172" fontId="4" fillId="0" borderId="6" applyAlignment="1" pivotButton="0" quotePrefix="0" xfId="0">
      <alignment horizontal="center" vertical="bottom"/>
    </xf>
    <xf numFmtId="166" fontId="4" fillId="0" borderId="6" applyAlignment="1" pivotButton="0" quotePrefix="0" xfId="0">
      <alignment horizontal="center" vertical="bottom"/>
    </xf>
    <xf numFmtId="168" fontId="4" fillId="0" borderId="6" applyAlignment="1" pivotButton="0" quotePrefix="0" xfId="0">
      <alignment horizontal="center" vertical="bottom"/>
    </xf>
    <xf numFmtId="169" fontId="4" fillId="0" borderId="6" applyAlignment="1" pivotButton="0" quotePrefix="0" xfId="0">
      <alignment horizontal="center" vertical="bottom"/>
    </xf>
    <xf numFmtId="169" fontId="4" fillId="0" borderId="0" applyAlignment="1" pivotButton="0" quotePrefix="0" xfId="0">
      <alignment horizontal="center" vertical="center"/>
    </xf>
    <xf numFmtId="168" fontId="4" fillId="0" borderId="0" applyAlignment="1" pivotButton="0" quotePrefix="0" xfId="0">
      <alignment horizontal="general" vertical="bottom"/>
    </xf>
    <xf numFmtId="169" fontId="4" fillId="0" borderId="0" applyAlignment="1" pivotButton="0" quotePrefix="0" xfId="0">
      <alignment horizontal="general" vertical="bottom"/>
    </xf>
    <xf numFmtId="2" fontId="4" fillId="0" borderId="6" applyAlignment="1" pivotButton="0" quotePrefix="0" xfId="0">
      <alignment horizontal="center" vertical="bottom"/>
    </xf>
    <xf numFmtId="170" fontId="4" fillId="0" borderId="8" applyAlignment="1" pivotButton="0" quotePrefix="0" xfId="0">
      <alignment horizontal="center" vertical="bottom"/>
    </xf>
    <xf numFmtId="165" fontId="4" fillId="0" borderId="82" applyAlignment="1" pivotButton="0" quotePrefix="0" xfId="0">
      <alignment horizontal="center" vertical="bottom"/>
    </xf>
    <xf numFmtId="165" fontId="4" fillId="0" borderId="6" applyAlignment="1" pivotButton="0" quotePrefix="0" xfId="0">
      <alignment horizontal="center" vertical="center"/>
    </xf>
    <xf numFmtId="165" fontId="4" fillId="0" borderId="83" applyAlignment="1" pivotButton="0" quotePrefix="0" xfId="0">
      <alignment horizontal="center" vertical="bottom"/>
    </xf>
    <xf numFmtId="172" fontId="4" fillId="0" borderId="0" applyAlignment="1" pivotButton="0" quotePrefix="0" xfId="0">
      <alignment horizontal="center" vertical="center"/>
    </xf>
    <xf numFmtId="165" fontId="4" fillId="0" borderId="10" applyAlignment="1" pivotButton="0" quotePrefix="0" xfId="0">
      <alignment horizontal="center" vertical="bottom"/>
    </xf>
    <xf numFmtId="172" fontId="4" fillId="0" borderId="10" applyAlignment="1" pivotButton="0" quotePrefix="0" xfId="0">
      <alignment horizontal="center" vertical="bottom"/>
    </xf>
    <xf numFmtId="168" fontId="4" fillId="0" borderId="10" applyAlignment="1" pivotButton="0" quotePrefix="0" xfId="0">
      <alignment horizontal="center" vertical="bottom"/>
    </xf>
    <xf numFmtId="169" fontId="4" fillId="0" borderId="10" applyAlignment="1" pivotButton="0" quotePrefix="0" xfId="0">
      <alignment horizontal="center" vertical="bottom"/>
    </xf>
    <xf numFmtId="170" fontId="4" fillId="0" borderId="18" applyAlignment="1" pivotButton="0" quotePrefix="0" xfId="0">
      <alignment horizontal="center" vertical="bottom"/>
    </xf>
    <xf numFmtId="179" fontId="4" fillId="0" borderId="84" applyAlignment="1" pivotButton="0" quotePrefix="0" xfId="0">
      <alignment horizontal="center" vertical="center"/>
    </xf>
    <xf numFmtId="180" fontId="4" fillId="0" borderId="85" applyAlignment="1" pivotButton="0" quotePrefix="0" xfId="0">
      <alignment horizontal="center" vertical="center"/>
    </xf>
    <xf numFmtId="165" fontId="4" fillId="0" borderId="86" applyAlignment="1" pivotButton="0" quotePrefix="0" xfId="0">
      <alignment horizontal="center" vertical="bottom"/>
    </xf>
    <xf numFmtId="165" fontId="4" fillId="0" borderId="78" applyAlignment="1" pivotButton="0" quotePrefix="0" xfId="0">
      <alignment horizontal="center" vertical="bottom"/>
    </xf>
    <xf numFmtId="172" fontId="4" fillId="0" borderId="78" applyAlignment="1" pivotButton="0" quotePrefix="0" xfId="0">
      <alignment horizontal="center" vertical="bottom"/>
    </xf>
    <xf numFmtId="0" fontId="4" fillId="0" borderId="78" applyAlignment="1" pivotButton="0" quotePrefix="0" xfId="0">
      <alignment horizontal="center" vertical="bottom"/>
    </xf>
    <xf numFmtId="168" fontId="4" fillId="0" borderId="78" applyAlignment="1" pivotButton="0" quotePrefix="0" xfId="0">
      <alignment horizontal="center" vertical="bottom"/>
    </xf>
    <xf numFmtId="169" fontId="4" fillId="0" borderId="78" applyAlignment="1" pivotButton="0" quotePrefix="0" xfId="0">
      <alignment horizontal="center" vertical="bottom"/>
    </xf>
    <xf numFmtId="170" fontId="4" fillId="0" borderId="87" applyAlignment="1" pivotButton="0" quotePrefix="0" xfId="0">
      <alignment horizontal="center" vertical="bottom"/>
    </xf>
    <xf numFmtId="170" fontId="4" fillId="0" borderId="14" applyAlignment="1" pivotButton="0" quotePrefix="0" xfId="0">
      <alignment horizontal="center" vertical="bottom"/>
    </xf>
    <xf numFmtId="181" fontId="4" fillId="0" borderId="14" applyAlignment="1" pivotButton="0" quotePrefix="0" xfId="0">
      <alignment horizontal="center" vertical="bottom"/>
    </xf>
    <xf numFmtId="2" fontId="4" fillId="0" borderId="0" applyAlignment="1" pivotButton="0" quotePrefix="0" xfId="0">
      <alignment horizontal="center" vertical="center"/>
    </xf>
    <xf numFmtId="0" fontId="27" fillId="0" borderId="5" applyAlignment="1" pivotButton="0" quotePrefix="0" xfId="0">
      <alignment horizontal="center" vertical="center"/>
    </xf>
    <xf numFmtId="170" fontId="4" fillId="0" borderId="6" applyAlignment="1" pivotButton="0" quotePrefix="0" xfId="0">
      <alignment horizontal="center" vertical="bottom"/>
    </xf>
    <xf numFmtId="181" fontId="4" fillId="0" borderId="6" applyAlignment="1" pivotButton="0" quotePrefix="0" xfId="0">
      <alignment horizontal="center" vertical="bottom"/>
    </xf>
    <xf numFmtId="0" fontId="27" fillId="0" borderId="88" applyAlignment="1" pivotButton="0" quotePrefix="0" xfId="0">
      <alignment horizontal="center" vertical="center"/>
    </xf>
    <xf numFmtId="0" fontId="0" fillId="0" borderId="161" pivotButton="0" quotePrefix="0" xfId="0"/>
    <xf numFmtId="170" fontId="4" fillId="0" borderId="89" applyAlignment="1" pivotButton="0" quotePrefix="0" xfId="0">
      <alignment horizontal="center" vertical="bottom"/>
    </xf>
    <xf numFmtId="172" fontId="4" fillId="0" borderId="89" applyAlignment="1" pivotButton="0" quotePrefix="0" xfId="0">
      <alignment horizontal="center" vertical="bottom"/>
    </xf>
    <xf numFmtId="2" fontId="4" fillId="0" borderId="89" applyAlignment="1" pivotButton="0" quotePrefix="0" xfId="0">
      <alignment horizontal="center" vertical="bottom"/>
    </xf>
    <xf numFmtId="181" fontId="4" fillId="0" borderId="89" applyAlignment="1" pivotButton="0" quotePrefix="0" xfId="0">
      <alignment horizontal="center" vertical="bottom"/>
    </xf>
    <xf numFmtId="168" fontId="4" fillId="0" borderId="89" applyAlignment="1" pivotButton="0" quotePrefix="0" xfId="0">
      <alignment horizontal="center" vertical="bottom"/>
    </xf>
    <xf numFmtId="169" fontId="4" fillId="0" borderId="89" applyAlignment="1" pivotButton="0" quotePrefix="0" xfId="0">
      <alignment horizontal="center" vertical="bottom"/>
    </xf>
    <xf numFmtId="170" fontId="4" fillId="0" borderId="90" applyAlignment="1" pivotButton="0" quotePrefix="0" xfId="0">
      <alignment horizontal="center" vertical="bottom"/>
    </xf>
    <xf numFmtId="168" fontId="4" fillId="0" borderId="0" applyAlignment="1" pivotButton="0" quotePrefix="0" xfId="0">
      <alignment horizontal="center" vertical="center"/>
    </xf>
    <xf numFmtId="177" fontId="4" fillId="0" borderId="0" applyAlignment="1" pivotButton="0" quotePrefix="0" xfId="0">
      <alignment horizontal="left" vertical="bottom"/>
    </xf>
    <xf numFmtId="0" fontId="30" fillId="2" borderId="0" applyAlignment="1" pivotButton="0" quotePrefix="0" xfId="0">
      <alignment horizontal="general" vertical="bottom"/>
    </xf>
    <xf numFmtId="0" fontId="4" fillId="2" borderId="0" applyAlignment="1" pivotButton="0" quotePrefix="0" xfId="0">
      <alignment horizontal="center" vertical="bottom"/>
    </xf>
    <xf numFmtId="0" fontId="38" fillId="2" borderId="0" applyAlignment="1" pivotButton="0" quotePrefix="0" xfId="0">
      <alignment horizontal="right" vertical="bottom"/>
    </xf>
    <xf numFmtId="0" fontId="24" fillId="2" borderId="0" applyAlignment="1" pivotButton="0" quotePrefix="0" xfId="0">
      <alignment horizontal="general" vertical="bottom"/>
    </xf>
    <xf numFmtId="0" fontId="27" fillId="2" borderId="91" applyAlignment="1" pivotButton="0" quotePrefix="0" xfId="0">
      <alignment horizontal="center" vertical="bottom" textRotation="255"/>
    </xf>
    <xf numFmtId="0" fontId="27" fillId="2" borderId="92" applyAlignment="1" pivotButton="0" quotePrefix="0" xfId="0">
      <alignment horizontal="center" vertical="bottom" textRotation="255"/>
    </xf>
    <xf numFmtId="0" fontId="28" fillId="2" borderId="93" applyAlignment="1" pivotButton="0" quotePrefix="0" xfId="0">
      <alignment horizontal="center" vertical="center"/>
    </xf>
    <xf numFmtId="0" fontId="0" fillId="0" borderId="134" pivotButton="0" quotePrefix="0" xfId="0"/>
    <xf numFmtId="0" fontId="4" fillId="2" borderId="94" applyAlignment="1" pivotButton="0" quotePrefix="0" xfId="0">
      <alignment horizontal="center" vertical="center"/>
    </xf>
    <xf numFmtId="0" fontId="0" fillId="0" borderId="164" pivotButton="0" quotePrefix="0" xfId="0"/>
    <xf numFmtId="0" fontId="28" fillId="2" borderId="94" applyAlignment="1" pivotButton="0" quotePrefix="0" xfId="0">
      <alignment horizontal="center" vertical="center"/>
    </xf>
    <xf numFmtId="0" fontId="4" fillId="2" borderId="93" applyAlignment="1" pivotButton="0" quotePrefix="0" xfId="0">
      <alignment horizontal="center" vertical="center"/>
    </xf>
    <xf numFmtId="0" fontId="4" fillId="2" borderId="95" applyAlignment="1" pivotButton="0" quotePrefix="0" xfId="0">
      <alignment horizontal="center" vertical="center"/>
    </xf>
    <xf numFmtId="0" fontId="4" fillId="2" borderId="95" applyAlignment="1" pivotButton="0" quotePrefix="0" xfId="0">
      <alignment horizontal="center" vertical="bottom"/>
    </xf>
    <xf numFmtId="0" fontId="31" fillId="2" borderId="96" applyAlignment="1" pivotButton="0" quotePrefix="0" xfId="0">
      <alignment horizontal="center" vertical="center"/>
    </xf>
    <xf numFmtId="0" fontId="28" fillId="2" borderId="33" applyAlignment="1" pivotButton="0" quotePrefix="0" xfId="0">
      <alignment horizontal="center" vertical="center"/>
    </xf>
    <xf numFmtId="0" fontId="28" fillId="2" borderId="97" applyAlignment="1" pivotButton="0" quotePrefix="0" xfId="0">
      <alignment horizontal="center" vertical="center"/>
    </xf>
    <xf numFmtId="0" fontId="0" fillId="0" borderId="165" pivotButton="0" quotePrefix="0" xfId="0"/>
    <xf numFmtId="0" fontId="31" fillId="2" borderId="33" applyAlignment="1" pivotButton="0" quotePrefix="0" xfId="0">
      <alignment horizontal="center" vertical="center"/>
    </xf>
    <xf numFmtId="0" fontId="31" fillId="2" borderId="98" applyAlignment="1" pivotButton="0" quotePrefix="0" xfId="0">
      <alignment horizontal="center" vertical="center"/>
    </xf>
    <xf numFmtId="0" fontId="31" fillId="2" borderId="99" applyAlignment="1" pivotButton="0" quotePrefix="0" xfId="0">
      <alignment horizontal="center" vertical="center" shrinkToFit="1"/>
    </xf>
    <xf numFmtId="0" fontId="4" fillId="2" borderId="49" applyAlignment="1" pivotButton="0" quotePrefix="0" xfId="0">
      <alignment horizontal="center" vertical="center"/>
    </xf>
    <xf numFmtId="0" fontId="4" fillId="2" borderId="100" applyAlignment="1" pivotButton="0" quotePrefix="0" xfId="0">
      <alignment horizontal="center" vertical="center"/>
    </xf>
    <xf numFmtId="0" fontId="0" fillId="0" borderId="166" pivotButton="0" quotePrefix="0" xfId="0"/>
    <xf numFmtId="0" fontId="28" fillId="2" borderId="49" applyAlignment="1" pivotButton="0" quotePrefix="0" xfId="0">
      <alignment horizontal="center" vertical="center"/>
    </xf>
    <xf numFmtId="0" fontId="28" fillId="2" borderId="101" applyAlignment="1" pivotButton="0" quotePrefix="0" xfId="0">
      <alignment horizontal="center" vertical="center"/>
    </xf>
    <xf numFmtId="0" fontId="28" fillId="2" borderId="101" applyAlignment="1" pivotButton="0" quotePrefix="0" xfId="0">
      <alignment horizontal="center" vertical="bottom"/>
    </xf>
    <xf numFmtId="0" fontId="28" fillId="2" borderId="102" applyAlignment="1" pivotButton="0" quotePrefix="0" xfId="0">
      <alignment horizontal="center" vertical="center"/>
    </xf>
    <xf numFmtId="0" fontId="28" fillId="2" borderId="78" applyAlignment="1" pivotButton="0" quotePrefix="0" xfId="0">
      <alignment horizontal="center" vertical="center"/>
    </xf>
    <xf numFmtId="0" fontId="4" fillId="2" borderId="10" applyAlignment="1" pivotButton="0" quotePrefix="0" xfId="0">
      <alignment horizontal="center" vertical="center"/>
    </xf>
    <xf numFmtId="0" fontId="28" fillId="2" borderId="85" applyAlignment="1" pivotButton="0" quotePrefix="0" xfId="0">
      <alignment horizontal="center" vertical="center"/>
    </xf>
    <xf numFmtId="0" fontId="28" fillId="2" borderId="86" applyAlignment="1" pivotButton="0" quotePrefix="0" xfId="0">
      <alignment horizontal="center" vertical="center"/>
    </xf>
    <xf numFmtId="0" fontId="28" fillId="2" borderId="103" applyAlignment="1" pivotButton="0" quotePrefix="0" xfId="0">
      <alignment horizontal="center" vertical="center"/>
    </xf>
    <xf numFmtId="0" fontId="4" fillId="2" borderId="78" applyAlignment="1" pivotButton="0" quotePrefix="0" xfId="0">
      <alignment horizontal="center" vertical="center" wrapText="1"/>
    </xf>
    <xf numFmtId="0" fontId="4" fillId="2" borderId="17" applyAlignment="1" pivotButton="0" quotePrefix="0" xfId="0">
      <alignment horizontal="center" vertical="center"/>
    </xf>
    <xf numFmtId="0" fontId="4" fillId="2" borderId="104" applyAlignment="1" pivotButton="0" quotePrefix="0" xfId="0">
      <alignment horizontal="center" vertical="center"/>
    </xf>
    <xf numFmtId="0" fontId="4" fillId="2" borderId="105" applyAlignment="1" pivotButton="0" quotePrefix="0" xfId="0">
      <alignment horizontal="center" vertical="center"/>
    </xf>
    <xf numFmtId="0" fontId="28" fillId="2" borderId="106" applyAlignment="1" pivotButton="0" quotePrefix="0" xfId="0">
      <alignment horizontal="center" vertical="center"/>
    </xf>
    <xf numFmtId="0" fontId="0" fillId="0" borderId="162" pivotButton="0" quotePrefix="0" xfId="0"/>
    <xf numFmtId="0" fontId="0" fillId="0" borderId="163" pivotButton="0" quotePrefix="0" xfId="0"/>
    <xf numFmtId="0" fontId="28" fillId="2" borderId="107" applyAlignment="1" pivotButton="0" quotePrefix="0" xfId="0">
      <alignment horizontal="center" vertical="center"/>
    </xf>
    <xf numFmtId="0" fontId="0" fillId="0" borderId="108" pivotButton="0" quotePrefix="0" xfId="0"/>
    <xf numFmtId="0" fontId="0" fillId="0" borderId="110" pivotButton="0" quotePrefix="0" xfId="0"/>
    <xf numFmtId="0" fontId="0" fillId="0" borderId="168" pivotButton="0" quotePrefix="0" xfId="0"/>
    <xf numFmtId="0" fontId="28" fillId="2" borderId="108" applyAlignment="1" pivotButton="0" quotePrefix="0" xfId="0">
      <alignment horizontal="center" vertical="center"/>
    </xf>
    <xf numFmtId="0" fontId="28" fillId="2" borderId="109" applyAlignment="1" pivotButton="0" quotePrefix="0" xfId="0">
      <alignment horizontal="center" vertical="center"/>
    </xf>
    <xf numFmtId="0" fontId="28" fillId="2" borderId="110" applyAlignment="1" pivotButton="0" quotePrefix="0" xfId="0">
      <alignment horizontal="center" vertical="center"/>
    </xf>
    <xf numFmtId="0" fontId="0" fillId="0" borderId="169" pivotButton="0" quotePrefix="0" xfId="0"/>
    <xf numFmtId="179" fontId="4" fillId="0" borderId="13" applyAlignment="1" pivotButton="0" quotePrefix="0" xfId="0">
      <alignment horizontal="center" vertical="bottom"/>
    </xf>
    <xf numFmtId="180" fontId="4" fillId="0" borderId="49" applyAlignment="1" pivotButton="0" quotePrefix="0" xfId="0">
      <alignment horizontal="center" vertical="bottom"/>
    </xf>
    <xf numFmtId="169" fontId="4" fillId="0" borderId="111" applyAlignment="1" pivotButton="0" quotePrefix="0" xfId="0">
      <alignment horizontal="center" vertical="center"/>
    </xf>
    <xf numFmtId="169" fontId="4" fillId="0" borderId="112" applyAlignment="1" pivotButton="0" quotePrefix="0" xfId="0">
      <alignment horizontal="center" vertical="center"/>
    </xf>
    <xf numFmtId="170" fontId="4" fillId="0" borderId="81" applyAlignment="1" pivotButton="0" quotePrefix="0" xfId="0">
      <alignment horizontal="center" vertical="center"/>
    </xf>
    <xf numFmtId="170" fontId="4" fillId="0" borderId="113" applyAlignment="1" pivotButton="0" quotePrefix="0" xfId="0">
      <alignment horizontal="center" vertical="center"/>
    </xf>
    <xf numFmtId="169" fontId="4" fillId="0" borderId="114" applyAlignment="1" pivotButton="0" quotePrefix="0" xfId="0">
      <alignment horizontal="center" vertical="center"/>
    </xf>
    <xf numFmtId="168" fontId="4" fillId="0" borderId="115" applyAlignment="1" pivotButton="0" quotePrefix="0" xfId="0">
      <alignment horizontal="center" vertical="center"/>
    </xf>
    <xf numFmtId="170" fontId="4" fillId="0" borderId="49" applyAlignment="1" pivotButton="0" quotePrefix="0" xfId="0">
      <alignment horizontal="center" vertical="bottom" shrinkToFit="1"/>
    </xf>
    <xf numFmtId="168" fontId="4" fillId="0" borderId="100" applyAlignment="1" pivotButton="0" quotePrefix="0" xfId="0">
      <alignment horizontal="center" vertical="bottom" shrinkToFit="1"/>
    </xf>
    <xf numFmtId="168" fontId="4" fillId="0" borderId="81" applyAlignment="1" pivotButton="0" quotePrefix="0" xfId="0">
      <alignment horizontal="center" vertical="bottom"/>
    </xf>
    <xf numFmtId="169" fontId="4" fillId="0" borderId="102" applyAlignment="1" pivotButton="0" quotePrefix="0" xfId="0">
      <alignment horizontal="center" vertical="bottom"/>
    </xf>
    <xf numFmtId="169" fontId="4" fillId="0" borderId="105" applyAlignment="1" pivotButton="0" quotePrefix="0" xfId="0">
      <alignment horizontal="center" vertical="center"/>
    </xf>
    <xf numFmtId="170" fontId="4" fillId="0" borderId="82" applyAlignment="1" pivotButton="0" quotePrefix="0" xfId="0">
      <alignment horizontal="center" vertical="center"/>
    </xf>
    <xf numFmtId="170" fontId="4" fillId="0" borderId="43" applyAlignment="1" pivotButton="0" quotePrefix="0" xfId="0">
      <alignment horizontal="center" vertical="center"/>
    </xf>
    <xf numFmtId="170" fontId="4" fillId="0" borderId="116" applyAlignment="1" pivotButton="0" quotePrefix="0" xfId="0">
      <alignment horizontal="center" vertical="center"/>
    </xf>
    <xf numFmtId="168" fontId="4" fillId="0" borderId="82" applyAlignment="1" pivotButton="0" quotePrefix="0" xfId="0">
      <alignment horizontal="center" vertical="bottom"/>
    </xf>
    <xf numFmtId="169" fontId="4" fillId="0" borderId="117" applyAlignment="1" pivotButton="0" quotePrefix="0" xfId="0">
      <alignment horizontal="center" vertical="bottom"/>
    </xf>
    <xf numFmtId="169" fontId="4" fillId="0" borderId="6" applyAlignment="1" pivotButton="0" quotePrefix="0" xfId="0">
      <alignment horizontal="center" vertical="center"/>
    </xf>
    <xf numFmtId="169" fontId="4" fillId="0" borderId="36" applyAlignment="1" pivotButton="0" quotePrefix="0" xfId="0">
      <alignment horizontal="center" vertical="center"/>
    </xf>
    <xf numFmtId="170" fontId="4" fillId="0" borderId="116" applyAlignment="1" pivotButton="0" quotePrefix="0" xfId="0">
      <alignment horizontal="center" vertical="center" shrinkToFit="1"/>
    </xf>
    <xf numFmtId="169" fontId="4" fillId="0" borderId="82" applyAlignment="1" pivotButton="0" quotePrefix="0" xfId="0">
      <alignment horizontal="center" vertical="center"/>
    </xf>
    <xf numFmtId="169" fontId="4" fillId="0" borderId="7" applyAlignment="1" pivotButton="0" quotePrefix="0" xfId="0">
      <alignment horizontal="center" vertical="bottom"/>
    </xf>
    <xf numFmtId="169" fontId="4" fillId="0" borderId="43" applyAlignment="1" pivotButton="0" quotePrefix="0" xfId="0">
      <alignment horizontal="center" vertical="center"/>
    </xf>
    <xf numFmtId="169" fontId="4" fillId="0" borderId="7" applyAlignment="1" pivotButton="0" quotePrefix="0" xfId="0">
      <alignment horizontal="center" vertical="center"/>
    </xf>
    <xf numFmtId="169" fontId="4" fillId="0" borderId="116" applyAlignment="1" pivotButton="0" quotePrefix="0" xfId="0">
      <alignment horizontal="center" vertical="center"/>
    </xf>
    <xf numFmtId="170" fontId="4" fillId="0" borderId="44" applyAlignment="1" pivotButton="0" quotePrefix="0" xfId="0">
      <alignment horizontal="center" vertical="center"/>
    </xf>
    <xf numFmtId="170" fontId="4" fillId="0" borderId="6" applyAlignment="1" pivotButton="0" quotePrefix="0" xfId="0">
      <alignment horizontal="center" vertical="center"/>
    </xf>
    <xf numFmtId="169" fontId="4" fillId="0" borderId="115" applyAlignment="1" pivotButton="0" quotePrefix="0" xfId="0">
      <alignment horizontal="center" vertical="center"/>
    </xf>
    <xf numFmtId="170" fontId="4" fillId="0" borderId="68" applyAlignment="1" pivotButton="0" quotePrefix="0" xfId="0">
      <alignment horizontal="center" vertical="center"/>
    </xf>
    <xf numFmtId="172" fontId="4" fillId="0" borderId="7" applyAlignment="1" pivotButton="0" quotePrefix="0" xfId="0">
      <alignment horizontal="center" vertical="bottom"/>
    </xf>
    <xf numFmtId="169" fontId="4" fillId="0" borderId="43" applyAlignment="1" pivotButton="0" quotePrefix="0" xfId="0">
      <alignment horizontal="center" vertical="bottom"/>
    </xf>
    <xf numFmtId="170" fontId="4" fillId="0" borderId="118" applyAlignment="1" pivotButton="0" quotePrefix="0" xfId="0">
      <alignment horizontal="center" vertical="bottom"/>
    </xf>
    <xf numFmtId="169" fontId="4" fillId="0" borderId="119" applyAlignment="1" pivotButton="0" quotePrefix="0" xfId="0">
      <alignment horizontal="center" vertical="center"/>
    </xf>
    <xf numFmtId="169" fontId="4" fillId="0" borderId="61" applyAlignment="1" pivotButton="0" quotePrefix="0" xfId="0">
      <alignment horizontal="center" vertical="center"/>
    </xf>
    <xf numFmtId="169" fontId="4" fillId="0" borderId="50" applyAlignment="1" pivotButton="0" quotePrefix="0" xfId="0">
      <alignment horizontal="center" vertical="center"/>
    </xf>
    <xf numFmtId="169" fontId="4" fillId="0" borderId="120" applyAlignment="1" pivotButton="0" quotePrefix="0" xfId="0">
      <alignment horizontal="center" vertical="center"/>
    </xf>
    <xf numFmtId="170" fontId="4" fillId="0" borderId="82" applyAlignment="1" pivotButton="0" quotePrefix="0" xfId="0">
      <alignment horizontal="center" vertical="center" shrinkToFit="1"/>
    </xf>
    <xf numFmtId="170" fontId="4" fillId="0" borderId="6" applyAlignment="1" pivotButton="0" quotePrefix="0" xfId="0">
      <alignment horizontal="center" vertical="center" shrinkToFit="1"/>
    </xf>
    <xf numFmtId="172" fontId="4" fillId="0" borderId="82" applyAlignment="1" pivotButton="0" quotePrefix="0" xfId="0">
      <alignment horizontal="center" vertical="bottom"/>
    </xf>
    <xf numFmtId="172" fontId="4" fillId="0" borderId="120" applyAlignment="1" pivotButton="0" quotePrefix="0" xfId="0">
      <alignment horizontal="center" vertical="bottom"/>
    </xf>
    <xf numFmtId="170" fontId="4" fillId="0" borderId="43" applyAlignment="1" pivotButton="0" quotePrefix="0" xfId="0">
      <alignment horizontal="center" vertical="bottom"/>
    </xf>
    <xf numFmtId="170" fontId="4" fillId="0" borderId="44" applyAlignment="1" pivotButton="0" quotePrefix="0" xfId="0">
      <alignment horizontal="center" vertical="bottom"/>
    </xf>
    <xf numFmtId="168" fontId="4" fillId="0" borderId="105" applyAlignment="1" pivotButton="0" quotePrefix="0" xfId="0">
      <alignment horizontal="center" vertical="bottom"/>
    </xf>
    <xf numFmtId="169" fontId="4" fillId="0" borderId="121" applyAlignment="1" pivotButton="0" quotePrefix="0" xfId="0">
      <alignment horizontal="center" vertical="bottom"/>
    </xf>
    <xf numFmtId="170" fontId="4" fillId="0" borderId="105" applyAlignment="1" pivotButton="0" quotePrefix="0" xfId="0">
      <alignment horizontal="center" vertical="center"/>
    </xf>
    <xf numFmtId="170" fontId="4" fillId="0" borderId="122" applyAlignment="1" pivotButton="0" quotePrefix="0" xfId="0">
      <alignment horizontal="center" vertical="center"/>
    </xf>
    <xf numFmtId="169" fontId="4" fillId="0" borderId="44" applyAlignment="1" pivotButton="0" quotePrefix="0" xfId="0">
      <alignment horizontal="center" vertical="center"/>
    </xf>
    <xf numFmtId="169" fontId="4" fillId="0" borderId="44" applyAlignment="1" pivotButton="0" quotePrefix="0" xfId="0">
      <alignment horizontal="center" vertical="bottom"/>
    </xf>
    <xf numFmtId="179" fontId="4" fillId="0" borderId="84" applyAlignment="1" pivotButton="0" quotePrefix="0" xfId="0">
      <alignment horizontal="center" vertical="bottom"/>
    </xf>
    <xf numFmtId="180" fontId="4" fillId="0" borderId="85" applyAlignment="1" pivotButton="0" quotePrefix="0" xfId="0">
      <alignment horizontal="center" vertical="bottom"/>
    </xf>
    <xf numFmtId="172" fontId="4" fillId="0" borderId="86" applyAlignment="1" pivotButton="0" quotePrefix="0" xfId="0">
      <alignment horizontal="center" vertical="bottom"/>
    </xf>
    <xf numFmtId="172" fontId="4" fillId="0" borderId="85" applyAlignment="1" pivotButton="0" quotePrefix="0" xfId="0">
      <alignment horizontal="center" vertical="bottom"/>
    </xf>
    <xf numFmtId="170" fontId="4" fillId="0" borderId="86" applyAlignment="1" pivotButton="0" quotePrefix="0" xfId="0">
      <alignment horizontal="center" vertical="center"/>
    </xf>
    <xf numFmtId="170" fontId="4" fillId="0" borderId="107" applyAlignment="1" pivotButton="0" quotePrefix="0" xfId="0">
      <alignment horizontal="center" vertical="center"/>
    </xf>
    <xf numFmtId="170" fontId="4" fillId="0" borderId="103" applyAlignment="1" pivotButton="0" quotePrefix="0" xfId="0">
      <alignment horizontal="center" vertical="center" shrinkToFit="1"/>
    </xf>
    <xf numFmtId="169" fontId="4" fillId="0" borderId="123" applyAlignment="1" pivotButton="0" quotePrefix="0" xfId="0">
      <alignment horizontal="center" vertical="bottom"/>
    </xf>
    <xf numFmtId="168" fontId="4" fillId="0" borderId="103" applyAlignment="1" pivotButton="0" quotePrefix="0" xfId="0">
      <alignment horizontal="center" vertical="bottom"/>
    </xf>
    <xf numFmtId="170" fontId="4" fillId="0" borderId="123" applyAlignment="1" pivotButton="0" quotePrefix="0" xfId="0">
      <alignment horizontal="center" vertical="bottom"/>
    </xf>
    <xf numFmtId="168" fontId="4" fillId="0" borderId="86" applyAlignment="1" pivotButton="0" quotePrefix="0" xfId="0">
      <alignment horizontal="center" vertical="bottom"/>
    </xf>
    <xf numFmtId="169" fontId="4" fillId="0" borderId="106" applyAlignment="1" pivotButton="0" quotePrefix="0" xfId="0">
      <alignment horizontal="center" vertical="bottom"/>
    </xf>
    <xf numFmtId="0" fontId="27" fillId="0" borderId="13" applyAlignment="1" pivotButton="0" quotePrefix="0" xfId="0">
      <alignment horizontal="center" vertical="bottom"/>
    </xf>
    <xf numFmtId="172" fontId="4" fillId="0" borderId="115" applyAlignment="1" pivotButton="0" quotePrefix="0" xfId="0">
      <alignment horizontal="center" vertical="bottom"/>
    </xf>
    <xf numFmtId="170" fontId="4" fillId="0" borderId="81" applyAlignment="1" pivotButton="0" quotePrefix="0" xfId="0">
      <alignment horizontal="center" vertical="bottom"/>
    </xf>
    <xf numFmtId="170" fontId="4" fillId="0" borderId="115" applyAlignment="1" pivotButton="0" quotePrefix="0" xfId="0">
      <alignment horizontal="center" vertical="bottom"/>
    </xf>
    <xf numFmtId="169" fontId="4" fillId="0" borderId="81" applyAlignment="1" pivotButton="0" quotePrefix="0" xfId="0">
      <alignment horizontal="center" vertical="bottom"/>
    </xf>
    <xf numFmtId="168" fontId="4" fillId="0" borderId="115" applyAlignment="1" pivotButton="0" quotePrefix="0" xfId="0">
      <alignment horizontal="center" vertical="bottom"/>
    </xf>
    <xf numFmtId="168" fontId="4" fillId="0" borderId="100" applyAlignment="1" pivotButton="0" quotePrefix="0" xfId="0">
      <alignment horizontal="center" vertical="bottom"/>
    </xf>
    <xf numFmtId="0" fontId="27" fillId="0" borderId="5" applyAlignment="1" pivotButton="0" quotePrefix="0" xfId="0">
      <alignment horizontal="center" vertical="bottom"/>
    </xf>
    <xf numFmtId="172" fontId="4" fillId="0" borderId="116" applyAlignment="1" pivotButton="0" quotePrefix="0" xfId="0">
      <alignment horizontal="center" vertical="bottom"/>
    </xf>
    <xf numFmtId="170" fontId="4" fillId="0" borderId="82" applyAlignment="1" pivotButton="0" quotePrefix="0" xfId="0">
      <alignment horizontal="center" vertical="bottom"/>
    </xf>
    <xf numFmtId="170" fontId="4" fillId="0" borderId="116" applyAlignment="1" pivotButton="0" quotePrefix="0" xfId="0">
      <alignment horizontal="center" vertical="bottom"/>
    </xf>
    <xf numFmtId="169" fontId="4" fillId="0" borderId="82" applyAlignment="1" pivotButton="0" quotePrefix="0" xfId="0">
      <alignment horizontal="center" vertical="bottom"/>
    </xf>
    <xf numFmtId="168" fontId="4" fillId="0" borderId="116" applyAlignment="1" pivotButton="0" quotePrefix="0" xfId="0">
      <alignment horizontal="center" vertical="bottom"/>
    </xf>
    <xf numFmtId="169" fontId="4" fillId="0" borderId="118" applyAlignment="1" pivotButton="0" quotePrefix="0" xfId="0">
      <alignment horizontal="center" vertical="bottom"/>
    </xf>
    <xf numFmtId="0" fontId="27" fillId="0" borderId="88" applyAlignment="1" pivotButton="0" quotePrefix="0" xfId="0">
      <alignment horizontal="center" vertical="bottom"/>
    </xf>
    <xf numFmtId="172" fontId="4" fillId="0" borderId="124" applyAlignment="1" pivotButton="0" quotePrefix="0" xfId="0">
      <alignment horizontal="center" vertical="bottom"/>
    </xf>
    <xf numFmtId="170" fontId="4" fillId="0" borderId="125" applyAlignment="1" pivotButton="0" quotePrefix="0" xfId="0">
      <alignment horizontal="center" vertical="bottom"/>
    </xf>
    <xf numFmtId="170" fontId="4" fillId="0" borderId="124" applyAlignment="1" pivotButton="0" quotePrefix="0" xfId="0">
      <alignment horizontal="center" vertical="bottom"/>
    </xf>
    <xf numFmtId="169" fontId="4" fillId="0" borderId="125" applyAlignment="1" pivotButton="0" quotePrefix="0" xfId="0">
      <alignment horizontal="center" vertical="bottom"/>
    </xf>
    <xf numFmtId="168" fontId="4" fillId="0" borderId="124" applyAlignment="1" pivotButton="0" quotePrefix="0" xfId="0">
      <alignment horizontal="center" vertical="bottom"/>
    </xf>
    <xf numFmtId="168" fontId="4" fillId="0" borderId="126" applyAlignment="1" pivotButton="0" quotePrefix="0" xfId="0">
      <alignment horizontal="center" vertical="bottom"/>
    </xf>
    <xf numFmtId="169" fontId="4" fillId="0" borderId="127" applyAlignment="1" pivotButton="0" quotePrefix="0" xfId="0">
      <alignment horizontal="center" vertical="bottom"/>
    </xf>
    <xf numFmtId="0" fontId="39" fillId="2" borderId="0" applyAlignment="1" pivotButton="0" quotePrefix="0" xfId="0">
      <alignment horizontal="right" vertical="bottom"/>
    </xf>
    <xf numFmtId="0" fontId="27" fillId="2" borderId="128" applyAlignment="1" pivotButton="0" quotePrefix="0" xfId="0">
      <alignment horizontal="center" vertical="bottom" textRotation="255"/>
    </xf>
    <xf numFmtId="0" fontId="28" fillId="2" borderId="96" applyAlignment="1" pivotButton="0" quotePrefix="0" xfId="0">
      <alignment horizontal="center" vertical="center"/>
    </xf>
    <xf numFmtId="0" fontId="0" fillId="0" borderId="138" pivotButton="0" quotePrefix="0" xfId="0"/>
    <xf numFmtId="0" fontId="28" fillId="2" borderId="99" applyAlignment="1" pivotButton="0" quotePrefix="0" xfId="0">
      <alignment horizontal="center" vertical="center"/>
    </xf>
    <xf numFmtId="0" fontId="4" fillId="2" borderId="102" applyAlignment="1" pivotButton="0" quotePrefix="0" xfId="0">
      <alignment horizontal="center" vertical="center"/>
    </xf>
    <xf numFmtId="0" fontId="28" fillId="2" borderId="79" applyAlignment="1" pivotButton="0" quotePrefix="0" xfId="0">
      <alignment horizontal="center" vertical="center"/>
    </xf>
    <xf numFmtId="0" fontId="0" fillId="0" borderId="170" pivotButton="0" quotePrefix="0" xfId="0"/>
    <xf numFmtId="0" fontId="0" fillId="0" borderId="87" pivotButton="0" quotePrefix="0" xfId="0"/>
    <xf numFmtId="172" fontId="4" fillId="0" borderId="80" applyAlignment="1" pivotButton="0" quotePrefix="0" xfId="0">
      <alignment horizontal="center" vertical="bottom"/>
    </xf>
    <xf numFmtId="170" fontId="4" fillId="0" borderId="43" applyAlignment="1" pivotButton="0" quotePrefix="0" xfId="0">
      <alignment horizontal="center" vertical="center" shrinkToFit="1"/>
    </xf>
    <xf numFmtId="172" fontId="4" fillId="0" borderId="43" applyAlignment="1" pivotButton="0" quotePrefix="0" xfId="0">
      <alignment horizontal="center" vertical="bottom"/>
    </xf>
    <xf numFmtId="172" fontId="4" fillId="0" borderId="129" applyAlignment="1" pivotButton="0" quotePrefix="0" xfId="0">
      <alignment horizontal="center" vertical="bottom"/>
    </xf>
    <xf numFmtId="0" fontId="4" fillId="2" borderId="0" applyAlignment="1" pivotButton="0" quotePrefix="0" xfId="0">
      <alignment horizontal="center" vertical="bottom" shrinkToFit="1"/>
    </xf>
    <xf numFmtId="169" fontId="4" fillId="0" borderId="0" applyAlignment="1" pivotButton="0" quotePrefix="0" xfId="0">
      <alignment horizontal="center" vertical="bottom" shrinkToFit="1"/>
    </xf>
    <xf numFmtId="179" fontId="4" fillId="0" borderId="5" applyAlignment="1" pivotButton="0" quotePrefix="0" xfId="0">
      <alignment horizontal="center" vertical="bottom"/>
    </xf>
    <xf numFmtId="172" fontId="28" fillId="0" borderId="82" applyAlignment="1" pivotButton="0" quotePrefix="0" xfId="0">
      <alignment horizontal="center" vertical="bottom"/>
    </xf>
    <xf numFmtId="172" fontId="28" fillId="0" borderId="6" applyAlignment="1" pivotButton="0" quotePrefix="0" xfId="0">
      <alignment horizontal="center" vertical="bottom"/>
    </xf>
    <xf numFmtId="170" fontId="28" fillId="0" borderId="82" applyAlignment="1" pivotButton="0" quotePrefix="0" xfId="0">
      <alignment horizontal="center" vertical="center" shrinkToFit="1"/>
    </xf>
    <xf numFmtId="170" fontId="28" fillId="0" borderId="43" applyAlignment="1" pivotButton="0" quotePrefix="0" xfId="0">
      <alignment horizontal="center" vertical="center" shrinkToFit="1"/>
    </xf>
    <xf numFmtId="172" fontId="28" fillId="0" borderId="43" applyAlignment="1" pivotButton="0" quotePrefix="0" xfId="0">
      <alignment horizontal="center" vertical="bottom"/>
    </xf>
    <xf numFmtId="172" fontId="28" fillId="0" borderId="129" applyAlignment="1" pivotButton="0" quotePrefix="0" xfId="0">
      <alignment horizontal="center" vertical="bottom"/>
    </xf>
    <xf numFmtId="172" fontId="28" fillId="0" borderId="86" applyAlignment="1" pivotButton="0" quotePrefix="0" xfId="0">
      <alignment horizontal="center" vertical="bottom"/>
    </xf>
    <xf numFmtId="172" fontId="28" fillId="0" borderId="78" applyAlignment="1" pivotButton="0" quotePrefix="0" xfId="0">
      <alignment horizontal="center" vertical="bottom"/>
    </xf>
    <xf numFmtId="170" fontId="28" fillId="0" borderId="86" applyAlignment="1" pivotButton="0" quotePrefix="0" xfId="0">
      <alignment horizontal="center" vertical="center" shrinkToFit="1"/>
    </xf>
    <xf numFmtId="170" fontId="28" fillId="0" borderId="123" applyAlignment="1" pivotButton="0" quotePrefix="0" xfId="0">
      <alignment horizontal="center" vertical="center" shrinkToFit="1"/>
    </xf>
    <xf numFmtId="172" fontId="28" fillId="0" borderId="123" applyAlignment="1" pivotButton="0" quotePrefix="0" xfId="0">
      <alignment horizontal="center" vertical="bottom"/>
    </xf>
    <xf numFmtId="172" fontId="28" fillId="0" borderId="130" applyAlignment="1" pivotButton="0" quotePrefix="0" xfId="0">
      <alignment horizontal="center" vertical="bottom"/>
    </xf>
    <xf numFmtId="0" fontId="27" fillId="0" borderId="131" applyAlignment="1" pivotButton="0" quotePrefix="0" xfId="0">
      <alignment horizontal="center" vertical="bottom"/>
    </xf>
    <xf numFmtId="172" fontId="28" fillId="0" borderId="14" applyAlignment="1" pivotButton="0" quotePrefix="0" xfId="0">
      <alignment horizontal="center" vertical="bottom"/>
    </xf>
    <xf numFmtId="172" fontId="28" fillId="0" borderId="49" applyAlignment="1" pivotButton="0" quotePrefix="0" xfId="0">
      <alignment horizontal="center" vertical="bottom"/>
    </xf>
    <xf numFmtId="172" fontId="28" fillId="0" borderId="81" applyAlignment="1" pivotButton="0" quotePrefix="0" xfId="0">
      <alignment horizontal="center" vertical="bottom"/>
    </xf>
    <xf numFmtId="172" fontId="28" fillId="0" borderId="15" applyAlignment="1" pivotButton="0" quotePrefix="0" xfId="0">
      <alignment horizontal="center" vertical="bottom"/>
    </xf>
    <xf numFmtId="0" fontId="27" fillId="0" borderId="132" applyAlignment="1" pivotButton="0" quotePrefix="0" xfId="0">
      <alignment horizontal="center" vertical="bottom"/>
    </xf>
    <xf numFmtId="172" fontId="28" fillId="0" borderId="7" applyAlignment="1" pivotButton="0" quotePrefix="0" xfId="0">
      <alignment horizontal="center" vertical="bottom"/>
    </xf>
    <xf numFmtId="172" fontId="28" fillId="0" borderId="8" applyAlignment="1" pivotButton="0" quotePrefix="0" xfId="0">
      <alignment horizontal="center" vertical="bottom"/>
    </xf>
    <xf numFmtId="0" fontId="27" fillId="0" borderId="133" applyAlignment="1" pivotButton="0" quotePrefix="0" xfId="0">
      <alignment horizontal="center" vertical="bottom"/>
    </xf>
    <xf numFmtId="0" fontId="0" fillId="0" borderId="171" pivotButton="0" quotePrefix="0" xfId="0"/>
    <xf numFmtId="172" fontId="28" fillId="0" borderId="89" applyAlignment="1" pivotButton="0" quotePrefix="0" xfId="0">
      <alignment horizontal="center" vertical="bottom"/>
    </xf>
    <xf numFmtId="172" fontId="28" fillId="0" borderId="11" applyAlignment="1" pivotButton="0" quotePrefix="0" xfId="0">
      <alignment horizontal="center" vertical="bottom"/>
    </xf>
    <xf numFmtId="172" fontId="28" fillId="0" borderId="125" applyAlignment="1" pivotButton="0" quotePrefix="0" xfId="0">
      <alignment horizontal="center" vertical="bottom"/>
    </xf>
    <xf numFmtId="172" fontId="28" fillId="0" borderId="90" applyAlignment="1" pivotButton="0" quotePrefix="0" xfId="0">
      <alignment horizontal="center" vertical="bottom"/>
    </xf>
    <xf numFmtId="0" fontId="40" fillId="0" borderId="0" applyAlignment="1" pivotButton="0" quotePrefix="0" xfId="0">
      <alignment horizontal="center" vertical="center"/>
    </xf>
    <xf numFmtId="182" fontId="13" fillId="0" borderId="0" applyAlignment="1" pivotButton="0" quotePrefix="0" xfId="0">
      <alignment horizontal="distributed" vertical="center"/>
    </xf>
    <xf numFmtId="0" fontId="28" fillId="2" borderId="7" applyAlignment="1" pivotButton="0" quotePrefix="0" xfId="0">
      <alignment horizontal="general" vertical="center"/>
    </xf>
    <xf numFmtId="0" fontId="4" fillId="2" borderId="120" applyAlignment="1" pivotButton="0" quotePrefix="0" xfId="0">
      <alignment horizontal="general" vertical="center"/>
    </xf>
    <xf numFmtId="0" fontId="4" fillId="2" borderId="120" applyAlignment="1" pivotButton="0" quotePrefix="0" xfId="0">
      <alignment horizontal="right" vertical="center"/>
    </xf>
    <xf numFmtId="172" fontId="4" fillId="0" borderId="6" applyAlignment="1" pivotButton="0" quotePrefix="0" xfId="0">
      <alignment horizontal="right" vertical="center"/>
    </xf>
    <xf numFmtId="172" fontId="4" fillId="0" borderId="0" applyAlignment="1" pivotButton="0" quotePrefix="0" xfId="0">
      <alignment horizontal="general" vertical="center"/>
    </xf>
    <xf numFmtId="177" fontId="4" fillId="0" borderId="0" applyAlignment="1" pivotButton="0" quotePrefix="0" xfId="0">
      <alignment horizontal="general" vertical="center"/>
    </xf>
    <xf numFmtId="0" fontId="12" fillId="2" borderId="120" applyAlignment="1" pivotButton="0" quotePrefix="0" xfId="0">
      <alignment horizontal="general" vertical="center"/>
    </xf>
    <xf numFmtId="0" fontId="4" fillId="2" borderId="7" applyAlignment="1" pivotButton="0" quotePrefix="0" xfId="0">
      <alignment horizontal="left" vertical="center"/>
    </xf>
    <xf numFmtId="0" fontId="28" fillId="2" borderId="7" applyAlignment="1" pivotButton="0" quotePrefix="0" xfId="0">
      <alignment horizontal="left" vertical="center"/>
    </xf>
    <xf numFmtId="0" fontId="28" fillId="0" borderId="33" applyAlignment="1" pivotButton="0" quotePrefix="0" xfId="0">
      <alignment horizontal="general" vertical="center"/>
    </xf>
    <xf numFmtId="0" fontId="4" fillId="0" borderId="54" applyAlignment="1" pivotButton="0" quotePrefix="0" xfId="0">
      <alignment horizontal="general" vertical="center"/>
    </xf>
    <xf numFmtId="0" fontId="4" fillId="0" borderId="49" applyAlignment="1" pivotButton="0" quotePrefix="0" xfId="0">
      <alignment horizontal="general" vertical="center"/>
    </xf>
    <xf numFmtId="0" fontId="4" fillId="0" borderId="42" applyAlignment="1" pivotButton="0" quotePrefix="0" xfId="0">
      <alignment horizontal="general" vertical="center"/>
    </xf>
    <xf numFmtId="0" fontId="4" fillId="0" borderId="50" applyAlignment="1" pivotButton="0" quotePrefix="0" xfId="0">
      <alignment horizontal="general"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E230"/>
  <sheetViews>
    <sheetView showFormulas="0" showGridLines="1" showRowColHeaders="1" showZeros="1" rightToLeft="0" tabSelected="1" showOutlineSymbols="1" defaultGridColor="1" view="normal" topLeftCell="A220" colorId="64" zoomScale="100" zoomScaleNormal="100" zoomScalePageLayoutView="100" workbookViewId="0">
      <selection pane="topLeft" activeCell="N12" activeCellId="0" sqref="N12"/>
    </sheetView>
  </sheetViews>
  <sheetFormatPr baseColWidth="8" defaultColWidth="2.63671875" defaultRowHeight="12.75" zeroHeight="0" outlineLevelRow="0"/>
  <cols>
    <col width="2.64" customWidth="1" style="613" min="1" max="8"/>
    <col width="10.63" customWidth="1" style="613" min="9" max="14"/>
    <col width="2.64" customWidth="1" style="613" min="15" max="23"/>
    <col width="8.449999999999999" customWidth="1" style="613" min="24" max="24"/>
    <col width="2.64" customWidth="1" style="613" min="25" max="257"/>
  </cols>
  <sheetData>
    <row r="1" ht="29.25" customHeight="1" s="614">
      <c r="A1" s="615" t="inlineStr">
        <is>
          <t>加計浄化センター維持管理週報</t>
        </is>
      </c>
      <c r="M1" s="616" t="inlineStr">
        <is>
          <t>令和8年度</t>
        </is>
      </c>
      <c r="N1" s="617" t="n"/>
      <c r="O1" s="617" t="n"/>
      <c r="P1" s="617" t="n"/>
      <c r="Q1" s="617" t="n"/>
      <c r="R1" s="617" t="n"/>
      <c r="S1" s="617" t="n"/>
      <c r="T1" s="617" t="n"/>
      <c r="U1" s="617" t="n"/>
      <c r="V1" s="617" t="n"/>
      <c r="W1" s="617" t="n"/>
      <c r="X1" s="617" t="n"/>
      <c r="Y1" s="617" t="n"/>
      <c r="Z1" s="617" t="n"/>
      <c r="AA1" s="617" t="n"/>
      <c r="AB1" s="617" t="n"/>
      <c r="AC1" s="617" t="n"/>
      <c r="AD1" s="617" t="n"/>
      <c r="AE1" s="617" t="n"/>
    </row>
    <row r="2" ht="15" customHeight="1" s="614">
      <c r="A2" s="618" t="n"/>
      <c r="B2" s="618" t="n"/>
      <c r="C2" s="618" t="n"/>
      <c r="D2" s="618" t="n"/>
      <c r="E2" s="618" t="n"/>
      <c r="F2" s="618" t="n"/>
      <c r="G2" s="618" t="n"/>
      <c r="H2" s="618" t="n"/>
      <c r="I2" s="618" t="n"/>
      <c r="J2" s="618" t="n"/>
      <c r="K2" s="618" t="n"/>
      <c r="L2" s="618" t="n"/>
      <c r="M2" s="617" t="n"/>
      <c r="N2" s="617" t="n"/>
      <c r="O2" s="617" t="n"/>
      <c r="P2" s="617" t="n"/>
      <c r="Q2" s="617" t="n"/>
      <c r="R2" s="617" t="n"/>
      <c r="S2" s="617" t="n"/>
      <c r="T2" s="617" t="n"/>
      <c r="U2" s="617" t="n"/>
      <c r="V2" s="617" t="n"/>
      <c r="W2" s="617" t="n"/>
      <c r="X2" s="617" t="n"/>
      <c r="Y2" s="617" t="n"/>
      <c r="Z2" s="617" t="n"/>
      <c r="AA2" s="617" t="n"/>
      <c r="AB2" s="617" t="n"/>
      <c r="AC2" s="617" t="n"/>
      <c r="AD2" s="617" t="n"/>
      <c r="AE2" s="617" t="n"/>
    </row>
    <row r="3" ht="18" customHeight="1" s="614">
      <c r="A3" s="619" t="n"/>
      <c r="B3" s="620" t="n"/>
      <c r="C3" s="620" t="n"/>
      <c r="D3" s="620" t="n"/>
      <c r="E3" s="620" t="n"/>
      <c r="F3" s="620" t="n"/>
      <c r="G3" s="620" t="n"/>
      <c r="H3" s="621" t="n"/>
      <c r="I3" s="622" t="n"/>
      <c r="J3" s="622" t="n"/>
      <c r="K3" s="622" t="n"/>
      <c r="L3" s="622" t="n"/>
      <c r="M3" s="622" t="n"/>
      <c r="N3" s="622" t="n"/>
      <c r="O3" s="623" t="inlineStr">
        <is>
          <t>平均</t>
        </is>
      </c>
      <c r="P3" s="620" t="n"/>
      <c r="Q3" s="620" t="n"/>
      <c r="R3" s="624" t="n"/>
      <c r="S3" s="617" t="n"/>
      <c r="T3" s="617" t="n"/>
      <c r="U3" s="617" t="n"/>
      <c r="V3" s="617" t="n"/>
      <c r="W3" s="617" t="n"/>
      <c r="X3" s="617" t="n"/>
      <c r="Y3" s="617" t="n"/>
      <c r="Z3" s="617" t="n"/>
      <c r="AA3" s="617" t="n"/>
      <c r="AB3" s="617" t="n"/>
      <c r="AC3" s="617" t="n"/>
      <c r="AD3" s="617" t="n"/>
      <c r="AE3" s="617" t="n"/>
    </row>
    <row r="4" ht="18" customHeight="1" s="614">
      <c r="A4" s="625" t="inlineStr">
        <is>
          <t>全日電力量</t>
        </is>
      </c>
      <c r="B4" s="626" t="n"/>
      <c r="C4" s="626" t="n"/>
      <c r="D4" s="626" t="n"/>
      <c r="E4" s="626" t="n"/>
      <c r="F4" s="627" t="n"/>
      <c r="G4" s="628" t="inlineStr">
        <is>
          <t>Kｗｈ</t>
        </is>
      </c>
      <c r="H4" s="627" t="n"/>
      <c r="I4" s="629" t="n"/>
      <c r="J4" s="629" t="n"/>
      <c r="K4" s="629" t="n"/>
      <c r="L4" s="629" t="n"/>
      <c r="M4" s="629" t="n"/>
      <c r="N4" s="629" t="n"/>
      <c r="O4" s="630" t="n"/>
      <c r="P4" s="626" t="n"/>
      <c r="Q4" s="626" t="n"/>
      <c r="R4" s="631" t="n"/>
      <c r="S4" s="617" t="n"/>
      <c r="T4" s="617" t="n"/>
      <c r="U4" s="617" t="n"/>
      <c r="V4" s="617" t="n"/>
      <c r="W4" s="617" t="n"/>
      <c r="X4" s="632" t="n"/>
      <c r="Y4" s="617" t="n"/>
      <c r="Z4" s="617" t="n"/>
      <c r="AA4" s="617" t="n"/>
      <c r="AB4" s="617" t="n"/>
      <c r="AC4" s="617" t="n"/>
      <c r="AD4" s="617" t="n"/>
      <c r="AE4" s="617" t="n"/>
    </row>
    <row r="5" ht="18" customHeight="1" s="614">
      <c r="A5" s="625" t="inlineStr">
        <is>
          <t>力測電力量</t>
        </is>
      </c>
      <c r="B5" s="626" t="n"/>
      <c r="C5" s="626" t="n"/>
      <c r="D5" s="626" t="n"/>
      <c r="E5" s="626" t="n"/>
      <c r="F5" s="627" t="n"/>
      <c r="G5" s="628" t="inlineStr">
        <is>
          <t>Kｗｈ</t>
        </is>
      </c>
      <c r="H5" s="627" t="n"/>
      <c r="I5" s="629" t="n"/>
      <c r="J5" s="629" t="n"/>
      <c r="K5" s="629" t="n"/>
      <c r="L5" s="629" t="n"/>
      <c r="M5" s="629" t="n"/>
      <c r="N5" s="629" t="n"/>
      <c r="O5" s="630" t="n"/>
      <c r="P5" s="626" t="n"/>
      <c r="Q5" s="626" t="n"/>
      <c r="R5" s="631" t="n"/>
      <c r="S5" s="617" t="n"/>
      <c r="T5" s="617" t="n"/>
      <c r="U5" s="617" t="n"/>
      <c r="V5" s="617" t="n"/>
      <c r="W5" s="617" t="n"/>
      <c r="X5" s="632" t="n"/>
      <c r="Y5" s="617" t="n"/>
      <c r="Z5" s="617" t="n"/>
      <c r="AA5" s="617" t="n"/>
      <c r="AB5" s="617" t="n"/>
      <c r="AC5" s="617" t="n"/>
      <c r="AD5" s="617" t="n"/>
      <c r="AE5" s="617" t="n"/>
    </row>
    <row r="6" ht="18" customHeight="1" s="614">
      <c r="A6" s="625" t="inlineStr">
        <is>
          <t>無効電力量</t>
        </is>
      </c>
      <c r="B6" s="626" t="n"/>
      <c r="C6" s="626" t="n"/>
      <c r="D6" s="626" t="n"/>
      <c r="E6" s="626" t="n"/>
      <c r="F6" s="627" t="n"/>
      <c r="G6" s="628" t="inlineStr">
        <is>
          <t>Kvar</t>
        </is>
      </c>
      <c r="H6" s="627" t="n"/>
      <c r="I6" s="629" t="n"/>
      <c r="J6" s="629" t="n"/>
      <c r="K6" s="629" t="n"/>
      <c r="L6" s="629" t="n"/>
      <c r="M6" s="629" t="n"/>
      <c r="N6" s="629" t="n"/>
      <c r="O6" s="633" t="n"/>
      <c r="P6" s="626" t="n"/>
      <c r="Q6" s="626" t="n"/>
      <c r="R6" s="631" t="n"/>
      <c r="S6" s="617" t="n"/>
      <c r="T6" s="617" t="n"/>
      <c r="U6" s="617" t="n"/>
      <c r="V6" s="617" t="n"/>
      <c r="W6" s="617" t="n"/>
      <c r="X6" s="632" t="n"/>
      <c r="Y6" s="617" t="n"/>
      <c r="Z6" s="617" t="n"/>
      <c r="AA6" s="617" t="n"/>
      <c r="AB6" s="617" t="n"/>
      <c r="AC6" s="617" t="n"/>
      <c r="AD6" s="617" t="n"/>
      <c r="AE6" s="617" t="n"/>
    </row>
    <row r="7" ht="18" customHeight="1" s="614">
      <c r="A7" s="625" t="inlineStr">
        <is>
          <t>デマンド</t>
        </is>
      </c>
      <c r="B7" s="626" t="n"/>
      <c r="C7" s="626" t="n"/>
      <c r="D7" s="626" t="n"/>
      <c r="E7" s="626" t="n"/>
      <c r="F7" s="627" t="n"/>
      <c r="G7" s="628" t="inlineStr">
        <is>
          <t>Kw</t>
        </is>
      </c>
      <c r="H7" s="627" t="n"/>
      <c r="I7" s="629" t="n"/>
      <c r="J7" s="629" t="n"/>
      <c r="K7" s="634" t="n"/>
      <c r="L7" s="634" t="n"/>
      <c r="M7" s="634" t="n"/>
      <c r="N7" s="629" t="n"/>
      <c r="O7" s="630" t="n"/>
      <c r="P7" s="626" t="n"/>
      <c r="Q7" s="626" t="n"/>
      <c r="R7" s="631" t="n"/>
      <c r="S7" s="617" t="n"/>
      <c r="T7" s="617" t="n"/>
      <c r="U7" s="617" t="n"/>
      <c r="V7" s="617" t="n"/>
      <c r="W7" s="617" t="n"/>
      <c r="X7" s="632" t="n"/>
      <c r="Y7" s="617" t="n"/>
      <c r="Z7" s="617" t="n"/>
      <c r="AA7" s="617" t="n"/>
      <c r="AB7" s="617" t="n"/>
      <c r="AC7" s="617" t="n"/>
      <c r="AD7" s="617" t="n"/>
      <c r="AE7" s="617" t="n"/>
    </row>
    <row r="8" ht="18" customHeight="1" s="614">
      <c r="A8" s="625" t="inlineStr">
        <is>
          <t>水道使用量</t>
        </is>
      </c>
      <c r="B8" s="626" t="n"/>
      <c r="C8" s="626" t="n"/>
      <c r="D8" s="626" t="n"/>
      <c r="E8" s="626" t="n"/>
      <c r="F8" s="627" t="n"/>
      <c r="G8" s="635" t="inlineStr">
        <is>
          <t>㎥</t>
        </is>
      </c>
      <c r="H8" s="627" t="n"/>
      <c r="I8" s="629" t="n"/>
      <c r="J8" s="629" t="n"/>
      <c r="K8" s="629" t="n"/>
      <c r="L8" s="629" t="n"/>
      <c r="M8" s="629" t="n"/>
      <c r="N8" s="629" t="n"/>
      <c r="O8" s="630" t="n"/>
      <c r="P8" s="626" t="n"/>
      <c r="Q8" s="626" t="n"/>
      <c r="R8" s="631" t="n"/>
      <c r="S8" s="617" t="n"/>
      <c r="T8" s="617" t="n"/>
      <c r="U8" s="617" t="n"/>
      <c r="V8" s="617" t="n"/>
      <c r="W8" s="617" t="n"/>
      <c r="X8" s="632" t="n"/>
      <c r="Y8" s="617" t="n"/>
      <c r="Z8" s="617" t="n"/>
      <c r="AA8" s="617" t="n"/>
      <c r="AB8" s="617" t="n"/>
      <c r="AC8" s="617" t="n"/>
      <c r="AD8" s="617" t="n"/>
      <c r="AE8" s="617" t="n"/>
    </row>
    <row r="9" ht="18" customHeight="1" s="614">
      <c r="A9" s="625" t="inlineStr">
        <is>
          <t>軽油(残量)</t>
        </is>
      </c>
      <c r="B9" s="626" t="n"/>
      <c r="C9" s="626" t="n"/>
      <c r="D9" s="626" t="n"/>
      <c r="E9" s="626" t="n"/>
      <c r="F9" s="627" t="n"/>
      <c r="G9" s="628" t="inlineStr">
        <is>
          <t>ℓ</t>
        </is>
      </c>
      <c r="H9" s="627" t="n"/>
      <c r="I9" s="636" t="n"/>
      <c r="J9" s="636" t="n"/>
      <c r="K9" s="636" t="n"/>
      <c r="L9" s="636" t="n"/>
      <c r="M9" s="636" t="n"/>
      <c r="N9" s="636" t="n"/>
      <c r="O9" s="630" t="n"/>
      <c r="P9" s="626" t="n"/>
      <c r="Q9" s="626" t="n"/>
      <c r="R9" s="631" t="n"/>
      <c r="S9" s="617" t="n"/>
      <c r="T9" s="617" t="n"/>
      <c r="U9" s="617" t="n"/>
      <c r="V9" s="617" t="n"/>
      <c r="W9" s="617" t="n"/>
      <c r="X9" s="632" t="n"/>
      <c r="Y9" s="617" t="n"/>
      <c r="Z9" s="617" t="n"/>
      <c r="AA9" s="617" t="n"/>
      <c r="AB9" s="617" t="n"/>
      <c r="AC9" s="617" t="n"/>
      <c r="AD9" s="617" t="n"/>
      <c r="AE9" s="617" t="n"/>
    </row>
    <row r="10" ht="18" customHeight="1" s="614">
      <c r="A10" s="625" t="inlineStr">
        <is>
          <t>返送汚泥流量</t>
        </is>
      </c>
      <c r="B10" s="626" t="n"/>
      <c r="C10" s="626" t="n"/>
      <c r="D10" s="626" t="n"/>
      <c r="E10" s="626" t="n"/>
      <c r="F10" s="627" t="n"/>
      <c r="G10" s="635" t="inlineStr">
        <is>
          <t>㎥</t>
        </is>
      </c>
      <c r="H10" s="627" t="n"/>
      <c r="I10" s="636" t="n"/>
      <c r="J10" s="636" t="n"/>
      <c r="K10" s="636" t="n"/>
      <c r="L10" s="636" t="n"/>
      <c r="M10" s="636" t="n"/>
      <c r="N10" s="636" t="n"/>
      <c r="O10" s="630" t="n"/>
      <c r="P10" s="626" t="n"/>
      <c r="Q10" s="626" t="n"/>
      <c r="R10" s="631" t="n"/>
      <c r="S10" s="617" t="n"/>
      <c r="T10" s="617" t="n"/>
      <c r="U10" s="617" t="n"/>
      <c r="V10" s="617" t="n"/>
      <c r="W10" s="617" t="n"/>
      <c r="X10" s="617" t="n"/>
      <c r="Y10" s="617" t="n"/>
      <c r="Z10" s="617" t="n"/>
      <c r="AA10" s="617" t="n"/>
      <c r="AB10" s="617" t="n"/>
      <c r="AC10" s="617" t="n"/>
      <c r="AD10" s="617" t="n"/>
      <c r="AE10" s="617" t="n"/>
    </row>
    <row r="11" ht="18" customHeight="1" s="614">
      <c r="A11" s="625" t="inlineStr">
        <is>
          <t>余剰汚泥流量</t>
        </is>
      </c>
      <c r="B11" s="626" t="n"/>
      <c r="C11" s="626" t="n"/>
      <c r="D11" s="626" t="n"/>
      <c r="E11" s="626" t="n"/>
      <c r="F11" s="627" t="n"/>
      <c r="G11" s="635" t="inlineStr">
        <is>
          <t>㎥</t>
        </is>
      </c>
      <c r="H11" s="627" t="n"/>
      <c r="I11" s="637" t="n"/>
      <c r="J11" s="637" t="n"/>
      <c r="K11" s="637" t="n"/>
      <c r="L11" s="637" t="n"/>
      <c r="M11" s="637" t="n"/>
      <c r="N11" s="637" t="n"/>
      <c r="O11" s="630" t="n"/>
      <c r="P11" s="626" t="n"/>
      <c r="Q11" s="626" t="n"/>
      <c r="R11" s="631" t="n"/>
      <c r="S11" s="617" t="n"/>
      <c r="T11" s="617" t="n"/>
      <c r="U11" s="617" t="n"/>
      <c r="V11" s="617" t="n"/>
      <c r="W11" s="617" t="n"/>
      <c r="X11" s="617" t="n"/>
      <c r="Y11" s="617" t="n"/>
      <c r="Z11" s="617" t="n"/>
      <c r="AA11" s="617" t="n"/>
      <c r="AB11" s="617" t="n"/>
      <c r="AC11" s="617" t="n"/>
      <c r="AD11" s="617" t="n"/>
      <c r="AE11" s="617" t="n"/>
    </row>
    <row r="12" ht="18" customHeight="1" s="614">
      <c r="A12" s="638" t="inlineStr">
        <is>
          <t>放流流量</t>
        </is>
      </c>
      <c r="B12" s="639" t="n"/>
      <c r="C12" s="639" t="n"/>
      <c r="D12" s="639" t="n"/>
      <c r="E12" s="639" t="n"/>
      <c r="F12" s="640" t="n"/>
      <c r="G12" s="641" t="inlineStr">
        <is>
          <t>㎥</t>
        </is>
      </c>
      <c r="H12" s="640" t="n"/>
      <c r="I12" s="642" t="n"/>
      <c r="J12" s="642" t="n"/>
      <c r="K12" s="642" t="n"/>
      <c r="L12" s="642" t="n"/>
      <c r="M12" s="642" t="n"/>
      <c r="N12" s="642" t="n"/>
      <c r="O12" s="630" t="n"/>
      <c r="P12" s="626" t="n"/>
      <c r="Q12" s="626" t="n"/>
      <c r="R12" s="631" t="n"/>
      <c r="S12" s="617" t="n"/>
      <c r="T12" s="617" t="n"/>
      <c r="U12" s="617" t="n"/>
      <c r="V12" s="617" t="n"/>
      <c r="W12" s="617" t="n"/>
      <c r="X12" s="617" t="n"/>
      <c r="Y12" s="617" t="n"/>
      <c r="Z12" s="617" t="n"/>
      <c r="AA12" s="617" t="n"/>
      <c r="AB12" s="617" t="n"/>
      <c r="AC12" s="617" t="n"/>
      <c r="AD12" s="617" t="n"/>
      <c r="AE12" s="617" t="n"/>
    </row>
    <row r="13" ht="45" customHeight="1" s="614">
      <c r="A13" s="643" t="inlineStr">
        <is>
          <t>日 常 水 質 測 定 結 果</t>
        </is>
      </c>
      <c r="B13" s="644" t="n"/>
      <c r="C13" s="644" t="n"/>
      <c r="D13" s="644" t="n"/>
      <c r="E13" s="644" t="n"/>
      <c r="F13" s="644" t="n"/>
      <c r="G13" s="644" t="n"/>
      <c r="H13" s="644" t="n"/>
      <c r="I13" s="644" t="n"/>
      <c r="J13" s="644" t="n"/>
      <c r="K13" s="644" t="n"/>
      <c r="L13" s="644" t="n"/>
      <c r="M13" s="644" t="n"/>
      <c r="N13" s="644" t="n"/>
      <c r="O13" s="644" t="n"/>
      <c r="P13" s="644" t="n"/>
      <c r="Q13" s="644" t="n"/>
      <c r="R13" s="645" t="n"/>
      <c r="S13" s="617" t="n"/>
      <c r="T13" s="617" t="n"/>
      <c r="U13" s="617" t="n"/>
      <c r="V13" s="617" t="n"/>
      <c r="W13" s="617" t="n"/>
      <c r="X13" s="617" t="n"/>
      <c r="Y13" s="617" t="n"/>
      <c r="Z13" s="617" t="n"/>
      <c r="AA13" s="617" t="n"/>
      <c r="AB13" s="617" t="n"/>
      <c r="AC13" s="617" t="n"/>
      <c r="AD13" s="617" t="n"/>
      <c r="AE13" s="617" t="n"/>
    </row>
    <row r="14" ht="18" customHeight="1" s="614">
      <c r="A14" s="646" t="inlineStr">
        <is>
          <t>測 定 項 目</t>
        </is>
      </c>
      <c r="H14" s="647" t="n"/>
      <c r="I14" s="648" t="inlineStr">
        <is>
          <t>測定日</t>
        </is>
      </c>
      <c r="J14" s="649" t="n"/>
      <c r="K14" s="649" t="n"/>
      <c r="L14" s="649" t="n"/>
      <c r="M14" s="649" t="n"/>
      <c r="N14" s="649" t="n"/>
      <c r="O14" s="650">
        <f>O3</f>
        <v/>
      </c>
      <c r="R14" s="651" t="n"/>
      <c r="S14" s="617" t="n"/>
      <c r="T14" s="617" t="n"/>
      <c r="U14" s="617" t="n"/>
      <c r="V14" s="617" t="n"/>
      <c r="W14" s="617" t="n"/>
      <c r="X14" s="617" t="n"/>
      <c r="Y14" s="617" t="n"/>
      <c r="Z14" s="617" t="n"/>
      <c r="AA14" s="617" t="n"/>
      <c r="AB14" s="617" t="n"/>
      <c r="AC14" s="617" t="n"/>
      <c r="AD14" s="617" t="n"/>
      <c r="AE14" s="617" t="n"/>
    </row>
    <row r="15" ht="18" customHeight="1" s="614">
      <c r="A15" s="652" t="n"/>
      <c r="B15" s="653" t="n"/>
      <c r="C15" s="653" t="n"/>
      <c r="D15" s="653" t="n"/>
      <c r="E15" s="653" t="n"/>
      <c r="F15" s="653" t="n"/>
      <c r="G15" s="653" t="n"/>
      <c r="H15" s="654" t="n"/>
      <c r="I15" s="655" t="inlineStr">
        <is>
          <t>測定者</t>
        </is>
      </c>
      <c r="J15" s="656" t="n"/>
      <c r="K15" s="656" t="n"/>
      <c r="L15" s="656" t="n"/>
      <c r="M15" s="656" t="n"/>
      <c r="N15" s="656" t="n"/>
      <c r="O15" s="657" t="n"/>
      <c r="P15" s="653" t="n"/>
      <c r="Q15" s="653" t="n"/>
      <c r="R15" s="658" t="n"/>
      <c r="S15" s="617" t="n"/>
      <c r="T15" s="659" t="n"/>
      <c r="U15" s="659" t="n"/>
      <c r="V15" s="659" t="n"/>
      <c r="W15" s="659" t="n"/>
      <c r="X15" s="659" t="n"/>
      <c r="Y15" s="659" t="n"/>
      <c r="Z15" s="659" t="n"/>
      <c r="AA15" s="659" t="n"/>
      <c r="AB15" s="659" t="n"/>
      <c r="AC15" s="617" t="n"/>
      <c r="AD15" s="617" t="n"/>
      <c r="AE15" s="617" t="n"/>
    </row>
    <row r="16" ht="18" customHeight="1" s="614">
      <c r="A16" s="660" t="inlineStr">
        <is>
          <t xml:space="preserve">水温　　　　　</t>
        </is>
      </c>
      <c r="B16" s="639" t="n"/>
      <c r="C16" s="639" t="n"/>
      <c r="D16" s="639" t="n"/>
      <c r="E16" s="639" t="n"/>
      <c r="F16" s="640" t="n"/>
      <c r="G16" s="661" t="inlineStr">
        <is>
          <t>℃</t>
        </is>
      </c>
      <c r="H16" s="640" t="n"/>
      <c r="I16" s="662" t="inlineStr">
        <is>
          <t>流入</t>
        </is>
      </c>
      <c r="J16" s="663" t="n"/>
      <c r="K16" s="663" t="n"/>
      <c r="L16" s="663" t="n"/>
      <c r="M16" s="663" t="n"/>
      <c r="N16" s="663" t="n"/>
      <c r="O16" s="664" t="n"/>
      <c r="P16" s="639" t="n"/>
      <c r="Q16" s="639" t="n"/>
      <c r="R16" s="665" t="n"/>
      <c r="S16" s="666" t="n"/>
      <c r="T16" s="659" t="n"/>
      <c r="U16" s="659" t="n"/>
      <c r="V16" s="659" t="n"/>
      <c r="W16" s="659" t="n"/>
      <c r="X16" s="659" t="n"/>
      <c r="Y16" s="659" t="n"/>
      <c r="Z16" s="659" t="n"/>
      <c r="AA16" s="659" t="n"/>
      <c r="AB16" s="659" t="n"/>
      <c r="AC16" s="617" t="n"/>
      <c r="AD16" s="617" t="n"/>
      <c r="AE16" s="617" t="n"/>
    </row>
    <row r="17" ht="18" customHeight="1" s="614">
      <c r="A17" s="667" t="n"/>
      <c r="F17" s="647" t="n"/>
      <c r="G17" s="668" t="n"/>
      <c r="H17" s="647" t="n"/>
      <c r="I17" s="669" t="inlineStr">
        <is>
          <t>ディッチ</t>
        </is>
      </c>
      <c r="J17" s="670" t="n"/>
      <c r="K17" s="670" t="n"/>
      <c r="L17" s="670" t="n"/>
      <c r="M17" s="670" t="n"/>
      <c r="N17" s="670" t="n"/>
      <c r="O17" s="671" t="n"/>
      <c r="P17" s="672" t="n"/>
      <c r="Q17" s="672" t="n"/>
      <c r="R17" s="673" t="n"/>
      <c r="S17" s="674" t="n"/>
      <c r="T17" s="675" t="n"/>
      <c r="AC17" s="617" t="n"/>
      <c r="AD17" s="617" t="n"/>
      <c r="AE17" s="617" t="n"/>
    </row>
    <row r="18" ht="18" customHeight="1" s="614">
      <c r="A18" s="652" t="n"/>
      <c r="B18" s="653" t="n"/>
      <c r="C18" s="653" t="n"/>
      <c r="D18" s="653" t="n"/>
      <c r="E18" s="653" t="n"/>
      <c r="F18" s="654" t="n"/>
      <c r="G18" s="657" t="n"/>
      <c r="H18" s="654" t="n"/>
      <c r="I18" s="676" t="inlineStr">
        <is>
          <t>放流</t>
        </is>
      </c>
      <c r="J18" s="677" t="n"/>
      <c r="K18" s="677" t="n"/>
      <c r="L18" s="677" t="n"/>
      <c r="M18" s="677" t="n"/>
      <c r="N18" s="677" t="n"/>
      <c r="O18" s="678" t="n"/>
      <c r="P18" s="653" t="n"/>
      <c r="Q18" s="653" t="n"/>
      <c r="R18" s="658" t="n"/>
      <c r="S18" s="674" t="n"/>
      <c r="AC18" s="617" t="n"/>
      <c r="AD18" s="617" t="n"/>
      <c r="AE18" s="617" t="n"/>
    </row>
    <row r="19" ht="18" customHeight="1" s="614">
      <c r="A19" s="660" t="inlineStr">
        <is>
          <t>外観</t>
        </is>
      </c>
      <c r="B19" s="640" t="n"/>
      <c r="C19" s="679" t="inlineStr">
        <is>
          <t>油膜・色合</t>
        </is>
      </c>
      <c r="D19" s="639" t="n"/>
      <c r="E19" s="639" t="n"/>
      <c r="F19" s="639" t="n"/>
      <c r="G19" s="639" t="n"/>
      <c r="H19" s="640" t="n"/>
      <c r="I19" s="662" t="inlineStr">
        <is>
          <t>流入</t>
        </is>
      </c>
      <c r="J19" s="680" t="n"/>
      <c r="K19" s="680" t="n"/>
      <c r="L19" s="680" t="n"/>
      <c r="M19" s="680" t="n"/>
      <c r="N19" s="680" t="n"/>
      <c r="O19" s="681" t="n"/>
      <c r="P19" s="639" t="n"/>
      <c r="Q19" s="639" t="n"/>
      <c r="R19" s="665" t="n"/>
      <c r="S19" s="617" t="n"/>
      <c r="T19" s="659" t="n"/>
      <c r="U19" s="659" t="n"/>
      <c r="V19" s="659" t="n"/>
      <c r="W19" s="659" t="n"/>
      <c r="X19" s="659" t="n"/>
      <c r="Y19" s="659" t="n"/>
      <c r="Z19" s="659" t="n"/>
      <c r="AA19" s="659" t="n"/>
      <c r="AB19" s="659" t="n"/>
      <c r="AC19" s="617" t="n"/>
      <c r="AD19" s="617" t="n"/>
      <c r="AE19" s="617" t="n"/>
    </row>
    <row r="20" ht="18" customHeight="1" s="614">
      <c r="A20" s="667" t="n"/>
      <c r="B20" s="647" t="n"/>
      <c r="C20" s="668" t="n"/>
      <c r="H20" s="647" t="n"/>
      <c r="I20" s="669" t="inlineStr">
        <is>
          <t>ディッチ</t>
        </is>
      </c>
      <c r="J20" s="682" t="n"/>
      <c r="K20" s="682" t="n"/>
      <c r="L20" s="682" t="n"/>
      <c r="M20" s="682" t="n"/>
      <c r="N20" s="682" t="n"/>
      <c r="O20" s="683" t="n"/>
      <c r="P20" s="672" t="n"/>
      <c r="Q20" s="672" t="n"/>
      <c r="R20" s="673" t="n"/>
      <c r="S20" s="617" t="n"/>
      <c r="T20" s="659" t="n"/>
      <c r="U20" s="659" t="n"/>
      <c r="V20" s="659" t="n"/>
      <c r="W20" s="659" t="n"/>
      <c r="X20" s="659" t="n"/>
      <c r="Y20" s="659" t="n"/>
      <c r="Z20" s="659" t="n"/>
      <c r="AA20" s="659" t="n"/>
      <c r="AB20" s="659" t="n"/>
      <c r="AC20" s="617" t="n"/>
      <c r="AD20" s="617" t="n"/>
      <c r="AE20" s="617" t="n"/>
    </row>
    <row r="21" ht="18" customHeight="1" s="614">
      <c r="A21" s="652" t="n"/>
      <c r="B21" s="654" t="n"/>
      <c r="C21" s="657" t="n"/>
      <c r="D21" s="653" t="n"/>
      <c r="E21" s="653" t="n"/>
      <c r="F21" s="653" t="n"/>
      <c r="G21" s="653" t="n"/>
      <c r="H21" s="654" t="n"/>
      <c r="I21" s="676" t="inlineStr">
        <is>
          <t>放流</t>
        </is>
      </c>
      <c r="J21" s="684" t="n"/>
      <c r="K21" s="684" t="n"/>
      <c r="L21" s="684" t="n"/>
      <c r="M21" s="684" t="n"/>
      <c r="N21" s="684" t="n"/>
      <c r="O21" s="685" t="n"/>
      <c r="R21" s="651" t="n"/>
      <c r="S21" s="617" t="n"/>
      <c r="T21" s="659" t="n"/>
      <c r="U21" s="659" t="n"/>
      <c r="V21" s="659" t="n"/>
      <c r="W21" s="659" t="n"/>
      <c r="X21" s="659" t="n"/>
      <c r="Y21" s="659" t="n"/>
      <c r="Z21" s="659" t="n"/>
      <c r="AA21" s="659" t="n"/>
      <c r="AB21" s="659" t="n"/>
      <c r="AC21" s="617" t="n"/>
      <c r="AD21" s="617" t="n"/>
      <c r="AE21" s="617" t="n"/>
    </row>
    <row r="22" ht="18" customHeight="1" s="614">
      <c r="A22" s="660" t="inlineStr">
        <is>
          <t>透視度</t>
        </is>
      </c>
      <c r="B22" s="639" t="n"/>
      <c r="C22" s="639" t="n"/>
      <c r="D22" s="639" t="n"/>
      <c r="E22" s="639" t="n"/>
      <c r="F22" s="640" t="n"/>
      <c r="G22" s="655" t="inlineStr">
        <is>
          <t>ｃｍ</t>
        </is>
      </c>
      <c r="H22" s="640" t="n"/>
      <c r="I22" s="662" t="inlineStr">
        <is>
          <t>流入水</t>
        </is>
      </c>
      <c r="J22" s="686" t="n"/>
      <c r="K22" s="686" t="n"/>
      <c r="L22" s="686" t="n"/>
      <c r="M22" s="686" t="n"/>
      <c r="N22" s="686" t="n"/>
      <c r="O22" s="687" t="n"/>
      <c r="P22" s="688" t="n"/>
      <c r="Q22" s="688" t="n"/>
      <c r="R22" s="689" t="n"/>
      <c r="S22" s="617" t="n"/>
      <c r="T22" s="659" t="n"/>
      <c r="U22" s="659" t="n"/>
      <c r="V22" s="659" t="n"/>
      <c r="W22" s="659" t="n"/>
      <c r="X22" s="659" t="n"/>
      <c r="Y22" s="659" t="n"/>
      <c r="Z22" s="659" t="n"/>
      <c r="AA22" s="659" t="n"/>
      <c r="AB22" s="659" t="n"/>
      <c r="AC22" s="617" t="n"/>
      <c r="AD22" s="617" t="n"/>
      <c r="AE22" s="617" t="n"/>
    </row>
    <row r="23" ht="18" customHeight="1" s="614">
      <c r="A23" s="652" t="n"/>
      <c r="B23" s="653" t="n"/>
      <c r="C23" s="653" t="n"/>
      <c r="D23" s="653" t="n"/>
      <c r="E23" s="653" t="n"/>
      <c r="F23" s="654" t="n"/>
      <c r="G23" s="657" t="n"/>
      <c r="H23" s="654" t="n"/>
      <c r="I23" s="676" t="inlineStr">
        <is>
          <t>放流水</t>
        </is>
      </c>
      <c r="J23" s="690" t="n"/>
      <c r="K23" s="690" t="n"/>
      <c r="L23" s="690" t="n"/>
      <c r="M23" s="690" t="n"/>
      <c r="N23" s="690" t="n"/>
      <c r="O23" s="691" t="n"/>
      <c r="P23" s="692" t="n"/>
      <c r="Q23" s="692" t="n"/>
      <c r="R23" s="693" t="n"/>
      <c r="S23" s="617" t="n"/>
      <c r="T23" s="659" t="n"/>
      <c r="U23" s="694" t="n"/>
      <c r="V23" s="659" t="n"/>
      <c r="W23" s="659" t="n"/>
      <c r="X23" s="659" t="n"/>
      <c r="Y23" s="659" t="n"/>
      <c r="Z23" s="659" t="n"/>
      <c r="AA23" s="659" t="n"/>
      <c r="AB23" s="659" t="n"/>
      <c r="AC23" s="617" t="n"/>
      <c r="AD23" s="617" t="n"/>
      <c r="AE23" s="617" t="n"/>
    </row>
    <row r="24" ht="18" customHeight="1" s="614">
      <c r="A24" s="660" t="inlineStr">
        <is>
          <t>臭気</t>
        </is>
      </c>
      <c r="B24" s="640" t="n"/>
      <c r="C24" s="695" t="inlineStr">
        <is>
          <t>腐敗臭</t>
        </is>
      </c>
      <c r="D24" s="639" t="n"/>
      <c r="E24" s="639" t="n"/>
      <c r="F24" s="640" t="n"/>
      <c r="G24" s="655" t="inlineStr">
        <is>
          <t>有無</t>
        </is>
      </c>
      <c r="H24" s="640" t="n"/>
      <c r="I24" s="662" t="inlineStr">
        <is>
          <t>流入</t>
        </is>
      </c>
      <c r="J24" s="696" t="n"/>
      <c r="K24" s="696" t="n"/>
      <c r="L24" s="696" t="n"/>
      <c r="M24" s="696" t="n"/>
      <c r="N24" s="696" t="n"/>
      <c r="O24" s="681" t="n"/>
      <c r="P24" s="639" t="n"/>
      <c r="Q24" s="639" t="n"/>
      <c r="R24" s="665" t="n"/>
      <c r="S24" s="617" t="n"/>
      <c r="T24" s="697" t="n"/>
      <c r="U24" s="698" t="n"/>
      <c r="V24" s="698" t="n"/>
      <c r="W24" s="698" t="n"/>
      <c r="X24" s="698" t="n"/>
      <c r="Y24" s="698" t="n"/>
      <c r="Z24" s="659" t="n"/>
      <c r="AA24" s="659" t="n"/>
      <c r="AB24" s="659" t="n"/>
      <c r="AC24" s="617" t="n"/>
      <c r="AD24" s="617" t="n"/>
      <c r="AE24" s="617" t="n"/>
    </row>
    <row r="25" ht="18" customHeight="1" s="614">
      <c r="A25" s="667" t="n"/>
      <c r="B25" s="647" t="n"/>
      <c r="C25" s="668" t="n"/>
      <c r="F25" s="647" t="n"/>
      <c r="G25" s="668" t="n"/>
      <c r="H25" s="647" t="n"/>
      <c r="I25" s="669" t="inlineStr">
        <is>
          <t>ディッチ</t>
        </is>
      </c>
      <c r="J25" s="684" t="n"/>
      <c r="K25" s="684" t="n"/>
      <c r="L25" s="684" t="n"/>
      <c r="M25" s="684" t="n"/>
      <c r="N25" s="684" t="n"/>
      <c r="O25" s="683" t="n"/>
      <c r="P25" s="672" t="n"/>
      <c r="Q25" s="672" t="n"/>
      <c r="R25" s="673" t="n"/>
      <c r="S25" s="617" t="n"/>
      <c r="T25" s="697" t="n"/>
      <c r="U25" s="698" t="n"/>
      <c r="V25" s="698" t="n"/>
      <c r="W25" s="698" t="n"/>
      <c r="X25" s="698" t="n"/>
      <c r="Y25" s="698" t="n"/>
      <c r="Z25" s="659" t="n"/>
      <c r="AA25" s="659" t="n"/>
      <c r="AB25" s="659" t="n"/>
      <c r="AC25" s="617" t="n"/>
      <c r="AD25" s="617" t="n"/>
      <c r="AE25" s="617" t="n"/>
    </row>
    <row r="26" ht="18" customHeight="1" s="614">
      <c r="A26" s="652" t="n"/>
      <c r="B26" s="654" t="n"/>
      <c r="C26" s="657" t="n"/>
      <c r="D26" s="653" t="n"/>
      <c r="E26" s="653" t="n"/>
      <c r="F26" s="654" t="n"/>
      <c r="G26" s="657" t="n"/>
      <c r="H26" s="654" t="n"/>
      <c r="I26" s="676" t="inlineStr">
        <is>
          <t>放流</t>
        </is>
      </c>
      <c r="J26" s="699" t="n"/>
      <c r="K26" s="699" t="n"/>
      <c r="L26" s="699" t="n"/>
      <c r="M26" s="699" t="n"/>
      <c r="N26" s="699" t="n"/>
      <c r="O26" s="700" t="n"/>
      <c r="P26" s="701" t="n"/>
      <c r="Q26" s="701" t="n"/>
      <c r="R26" s="702" t="n"/>
      <c r="S26" s="617" t="n"/>
      <c r="U26" s="698" t="n"/>
      <c r="V26" s="698" t="n"/>
      <c r="W26" s="698" t="n"/>
      <c r="X26" s="698" t="n"/>
      <c r="Y26" s="698" t="n"/>
      <c r="Z26" s="659" t="n"/>
      <c r="AA26" s="659" t="n"/>
      <c r="AB26" s="659" t="n"/>
      <c r="AC26" s="617" t="n"/>
      <c r="AD26" s="617" t="n"/>
      <c r="AE26" s="617" t="n"/>
    </row>
    <row r="27" ht="18" customHeight="1" s="614">
      <c r="A27" s="703" t="inlineStr">
        <is>
          <t>PH</t>
        </is>
      </c>
      <c r="B27" s="639" t="n"/>
      <c r="C27" s="639" t="n"/>
      <c r="D27" s="639" t="n"/>
      <c r="E27" s="639" t="n"/>
      <c r="F27" s="640" t="n"/>
      <c r="G27" s="661" t="inlineStr">
        <is>
          <t>―</t>
        </is>
      </c>
      <c r="H27" s="640" t="n"/>
      <c r="I27" s="662" t="inlineStr">
        <is>
          <t>流入</t>
        </is>
      </c>
      <c r="J27" s="704" t="n"/>
      <c r="K27" s="704" t="n"/>
      <c r="L27" s="704" t="n"/>
      <c r="M27" s="704" t="n"/>
      <c r="N27" s="704" t="n"/>
      <c r="O27" s="705" t="n"/>
      <c r="P27" s="706" t="n"/>
      <c r="Q27" s="706" t="n"/>
      <c r="R27" s="707" t="n"/>
      <c r="S27" s="617" t="n"/>
      <c r="T27" s="659" t="n"/>
      <c r="U27" s="659" t="n"/>
      <c r="V27" s="659" t="n"/>
      <c r="W27" s="659" t="n"/>
      <c r="X27" s="659" t="n"/>
      <c r="Y27" s="659" t="n"/>
      <c r="Z27" s="659" t="n"/>
      <c r="AA27" s="659" t="n"/>
      <c r="AB27" s="659" t="n"/>
      <c r="AC27" s="617" t="n"/>
      <c r="AD27" s="617" t="n"/>
      <c r="AE27" s="617" t="n"/>
    </row>
    <row r="28" ht="18" customHeight="1" s="614">
      <c r="A28" s="667" t="n"/>
      <c r="F28" s="647" t="n"/>
      <c r="G28" s="668" t="n"/>
      <c r="H28" s="647" t="n"/>
      <c r="I28" s="669" t="inlineStr">
        <is>
          <t>ディッチ</t>
        </is>
      </c>
      <c r="J28" s="708" t="n"/>
      <c r="K28" s="708" t="n"/>
      <c r="L28" s="708" t="n"/>
      <c r="M28" s="708" t="n"/>
      <c r="N28" s="708" t="n"/>
      <c r="O28" s="709" t="n"/>
      <c r="P28" s="701" t="n"/>
      <c r="Q28" s="701" t="n"/>
      <c r="R28" s="702" t="n"/>
      <c r="S28" s="617" t="n"/>
      <c r="T28" s="659" t="n"/>
      <c r="U28" s="659" t="n"/>
      <c r="V28" s="659" t="n"/>
      <c r="W28" s="659" t="n"/>
      <c r="X28" s="659" t="n"/>
      <c r="Y28" s="659" t="n"/>
      <c r="Z28" s="659" t="n"/>
      <c r="AA28" s="659" t="n"/>
      <c r="AB28" s="659" t="n"/>
      <c r="AC28" s="617" t="n"/>
      <c r="AD28" s="617" t="n"/>
      <c r="AE28" s="617" t="n"/>
    </row>
    <row r="29" ht="18" customHeight="1" s="614">
      <c r="A29" s="652" t="n"/>
      <c r="B29" s="653" t="n"/>
      <c r="C29" s="653" t="n"/>
      <c r="D29" s="653" t="n"/>
      <c r="E29" s="653" t="n"/>
      <c r="F29" s="654" t="n"/>
      <c r="G29" s="657" t="n"/>
      <c r="H29" s="654" t="n"/>
      <c r="I29" s="676" t="inlineStr">
        <is>
          <t>放流</t>
        </is>
      </c>
      <c r="J29" s="710" t="n"/>
      <c r="K29" s="710" t="n"/>
      <c r="L29" s="710" t="n"/>
      <c r="M29" s="710" t="n"/>
      <c r="N29" s="710" t="n"/>
      <c r="O29" s="711" t="n"/>
      <c r="P29" s="692" t="n"/>
      <c r="Q29" s="692" t="n"/>
      <c r="R29" s="693" t="n"/>
      <c r="S29" s="617" t="n"/>
      <c r="T29" s="712" t="n"/>
      <c r="Z29" s="659" t="n"/>
      <c r="AA29" s="659" t="n"/>
      <c r="AB29" s="659" t="n"/>
      <c r="AC29" s="617" t="n"/>
      <c r="AD29" s="617" t="n"/>
      <c r="AE29" s="617" t="n"/>
    </row>
    <row r="30" ht="18" customHeight="1" s="614">
      <c r="A30" s="713" t="inlineStr">
        <is>
          <t>SV</t>
        </is>
      </c>
      <c r="B30" s="640" t="n"/>
      <c r="C30" s="714" t="inlineStr">
        <is>
          <t>SV・10</t>
        </is>
      </c>
      <c r="D30" s="626" t="n"/>
      <c r="E30" s="626" t="n"/>
      <c r="F30" s="627" t="n"/>
      <c r="G30" s="655" t="inlineStr">
        <is>
          <t>％</t>
        </is>
      </c>
      <c r="H30" s="640" t="n"/>
      <c r="I30" s="715" t="inlineStr">
        <is>
          <t>ディッチ</t>
        </is>
      </c>
      <c r="J30" s="716" t="n"/>
      <c r="K30" s="716" t="n"/>
      <c r="L30" s="716" t="n"/>
      <c r="M30" s="716" t="n"/>
      <c r="N30" s="716" t="n"/>
      <c r="O30" s="717" t="n"/>
      <c r="P30" s="639" t="n"/>
      <c r="Q30" s="639" t="n"/>
      <c r="R30" s="665" t="n"/>
      <c r="S30" s="617" t="n"/>
      <c r="T30" s="712" t="n"/>
      <c r="Z30" s="659" t="n"/>
      <c r="AA30" s="659" t="n"/>
      <c r="AB30" s="659" t="n"/>
      <c r="AC30" s="617" t="n"/>
      <c r="AD30" s="617" t="n"/>
      <c r="AE30" s="617" t="n"/>
    </row>
    <row r="31" ht="18" customHeight="1" s="614">
      <c r="A31" s="667" t="n"/>
      <c r="B31" s="647" t="n"/>
      <c r="C31" s="714" t="inlineStr">
        <is>
          <t>SV・20</t>
        </is>
      </c>
      <c r="D31" s="626" t="n"/>
      <c r="E31" s="626" t="n"/>
      <c r="F31" s="627" t="n"/>
      <c r="G31" s="668" t="n"/>
      <c r="H31" s="647" t="n"/>
      <c r="I31" s="668" t="n"/>
      <c r="J31" s="718" t="n"/>
      <c r="K31" s="718" t="n"/>
      <c r="L31" s="718" t="n"/>
      <c r="M31" s="718" t="n"/>
      <c r="N31" s="718" t="n"/>
      <c r="O31" s="671" t="n"/>
      <c r="P31" s="672" t="n"/>
      <c r="Q31" s="672" t="n"/>
      <c r="R31" s="673" t="n"/>
      <c r="S31" s="617" t="n"/>
      <c r="T31" s="659" t="n"/>
      <c r="Z31" s="659" t="n"/>
      <c r="AA31" s="659" t="n"/>
      <c r="AB31" s="659" t="n"/>
      <c r="AC31" s="617" t="n"/>
      <c r="AD31" s="617" t="n"/>
      <c r="AE31" s="617" t="n"/>
    </row>
    <row r="32" ht="18" customHeight="1" s="614">
      <c r="A32" s="667" t="n"/>
      <c r="B32" s="647" t="n"/>
      <c r="C32" s="714" t="inlineStr">
        <is>
          <t>SV・30</t>
        </is>
      </c>
      <c r="D32" s="626" t="n"/>
      <c r="E32" s="626" t="n"/>
      <c r="F32" s="627" t="n"/>
      <c r="G32" s="668" t="n"/>
      <c r="H32" s="647" t="n"/>
      <c r="I32" s="668" t="n"/>
      <c r="J32" s="719" t="n"/>
      <c r="K32" s="719" t="n"/>
      <c r="L32" s="719" t="n"/>
      <c r="M32" s="719" t="n"/>
      <c r="N32" s="719" t="n"/>
      <c r="O32" s="671" t="n"/>
      <c r="P32" s="672" t="n"/>
      <c r="Q32" s="672" t="n"/>
      <c r="R32" s="673" t="n"/>
      <c r="S32" s="617" t="n"/>
      <c r="T32" s="659" t="n"/>
      <c r="Z32" s="659" t="n"/>
      <c r="AA32" s="659" t="n"/>
      <c r="AB32" s="659" t="n"/>
      <c r="AC32" s="617" t="n"/>
      <c r="AD32" s="617" t="n"/>
      <c r="AE32" s="617" t="n"/>
    </row>
    <row r="33" ht="18" customHeight="1" s="614">
      <c r="A33" s="652" t="n"/>
      <c r="B33" s="654" t="n"/>
      <c r="C33" s="714" t="inlineStr">
        <is>
          <t>SV・24h</t>
        </is>
      </c>
      <c r="D33" s="626" t="n"/>
      <c r="E33" s="626" t="n"/>
      <c r="F33" s="627" t="n"/>
      <c r="G33" s="657" t="n"/>
      <c r="H33" s="654" t="n"/>
      <c r="I33" s="657" t="n"/>
      <c r="J33" s="720" t="n"/>
      <c r="K33" s="720" t="n"/>
      <c r="L33" s="720" t="n"/>
      <c r="M33" s="720" t="n"/>
      <c r="N33" s="720" t="n"/>
      <c r="O33" s="721" t="n"/>
      <c r="P33" s="701" t="n"/>
      <c r="Q33" s="701" t="n"/>
      <c r="R33" s="702" t="n"/>
      <c r="S33" s="617" t="n"/>
      <c r="T33" s="659" t="n"/>
      <c r="U33" s="659" t="n"/>
      <c r="V33" s="659" t="n"/>
      <c r="W33" s="659" t="n"/>
      <c r="X33" s="659" t="n"/>
      <c r="Y33" s="659" t="n"/>
      <c r="Z33" s="659" t="n"/>
      <c r="AA33" s="659" t="n"/>
      <c r="AB33" s="659" t="n"/>
      <c r="AC33" s="617" t="n"/>
      <c r="AD33" s="617" t="n"/>
      <c r="AE33" s="617" t="n"/>
    </row>
    <row r="34" ht="18" customHeight="1" s="614">
      <c r="A34" s="713" t="inlineStr">
        <is>
          <t>MLSS</t>
        </is>
      </c>
      <c r="B34" s="626" t="n"/>
      <c r="C34" s="626" t="n"/>
      <c r="D34" s="626" t="n"/>
      <c r="E34" s="626" t="n"/>
      <c r="F34" s="627" t="n"/>
      <c r="G34" s="655" t="inlineStr">
        <is>
          <t>㎎/ℓ</t>
        </is>
      </c>
      <c r="H34" s="627" t="n"/>
      <c r="I34" s="722" t="inlineStr">
        <is>
          <t>ディッチ</t>
        </is>
      </c>
      <c r="J34" s="720" t="n"/>
      <c r="K34" s="720" t="n"/>
      <c r="L34" s="720" t="n"/>
      <c r="M34" s="720" t="n"/>
      <c r="N34" s="723" t="n"/>
      <c r="O34" s="687" t="n"/>
      <c r="P34" s="688" t="n"/>
      <c r="Q34" s="688" t="n"/>
      <c r="R34" s="689" t="n"/>
      <c r="S34" s="617" t="n"/>
      <c r="T34" s="659" t="n"/>
      <c r="U34" s="659" t="n"/>
      <c r="V34" s="659" t="n"/>
      <c r="W34" s="659" t="n"/>
      <c r="X34" s="659" t="n"/>
      <c r="Y34" s="659" t="n"/>
      <c r="Z34" s="659" t="n"/>
      <c r="AA34" s="659" t="n"/>
      <c r="AB34" s="659" t="n"/>
      <c r="AC34" s="617" t="n"/>
      <c r="AD34" s="617" t="n"/>
      <c r="AE34" s="617" t="n"/>
    </row>
    <row r="35" ht="18" customHeight="1" s="614">
      <c r="A35" s="660" t="inlineStr">
        <is>
          <t>汚泥界面</t>
        </is>
      </c>
      <c r="B35" s="626" t="n"/>
      <c r="C35" s="626" t="n"/>
      <c r="D35" s="626" t="n"/>
      <c r="E35" s="626" t="n"/>
      <c r="F35" s="627" t="n"/>
      <c r="G35" s="655" t="inlineStr">
        <is>
          <t>ｃｍ</t>
        </is>
      </c>
      <c r="H35" s="627" t="n"/>
      <c r="I35" s="724" t="inlineStr">
        <is>
          <t>終沈</t>
        </is>
      </c>
      <c r="J35" s="723" t="n"/>
      <c r="K35" s="723" t="n"/>
      <c r="L35" s="723" t="n"/>
      <c r="M35" s="723" t="n"/>
      <c r="N35" s="725" t="n"/>
      <c r="O35" s="726" t="n"/>
      <c r="P35" s="688" t="n"/>
      <c r="Q35" s="688" t="n"/>
      <c r="R35" s="689" t="n"/>
      <c r="S35" s="617" t="n"/>
      <c r="T35" s="659" t="n"/>
      <c r="U35" s="659" t="n"/>
      <c r="V35" s="659" t="n"/>
      <c r="W35" s="659" t="n"/>
      <c r="X35" s="659" t="n"/>
      <c r="Y35" s="659" t="n"/>
      <c r="Z35" s="659" t="n"/>
      <c r="AA35" s="659" t="n"/>
      <c r="AB35" s="659" t="n"/>
      <c r="AC35" s="617" t="n"/>
      <c r="AD35" s="617" t="n"/>
      <c r="AE35" s="617" t="n"/>
    </row>
    <row r="36" ht="18" customHeight="1" s="614">
      <c r="A36" s="660" t="inlineStr">
        <is>
          <t>残留塩素</t>
        </is>
      </c>
      <c r="B36" s="626" t="n"/>
      <c r="C36" s="626" t="n"/>
      <c r="D36" s="626" t="n"/>
      <c r="E36" s="626" t="n"/>
      <c r="F36" s="627" t="n"/>
      <c r="G36" s="655" t="inlineStr">
        <is>
          <t>㎎/ℓ</t>
        </is>
      </c>
      <c r="H36" s="627" t="n"/>
      <c r="I36" s="722" t="inlineStr">
        <is>
          <t>放流水</t>
        </is>
      </c>
      <c r="J36" s="727" t="n"/>
      <c r="K36" s="727" t="n"/>
      <c r="L36" s="727" t="n"/>
      <c r="M36" s="727" t="n"/>
      <c r="N36" s="727" t="n"/>
      <c r="O36" s="687" t="n"/>
      <c r="P36" s="688" t="n"/>
      <c r="Q36" s="688" t="n"/>
      <c r="R36" s="689" t="n"/>
      <c r="S36" s="617" t="n"/>
      <c r="T36" s="659" t="n"/>
      <c r="U36" s="659" t="n"/>
      <c r="V36" s="659" t="n"/>
      <c r="W36" s="659" t="n"/>
      <c r="X36" s="659" t="n"/>
      <c r="Y36" s="659" t="n"/>
      <c r="Z36" s="659" t="n"/>
      <c r="AA36" s="659" t="n"/>
      <c r="AB36" s="659" t="n"/>
      <c r="AC36" s="617" t="n"/>
      <c r="AD36" s="617" t="n"/>
      <c r="AE36" s="617" t="n"/>
    </row>
    <row r="37" ht="18" customHeight="1" s="614">
      <c r="A37" s="625" t="inlineStr">
        <is>
          <t>塩素投入量</t>
        </is>
      </c>
      <c r="B37" s="626" t="n"/>
      <c r="C37" s="626" t="n"/>
      <c r="D37" s="626" t="n"/>
      <c r="E37" s="626" t="n"/>
      <c r="F37" s="627" t="n"/>
      <c r="G37" s="728" t="inlineStr">
        <is>
          <t>kg</t>
        </is>
      </c>
      <c r="H37" s="640" t="n"/>
      <c r="I37" s="729" t="inlineStr">
        <is>
          <t>塩素混和池</t>
        </is>
      </c>
      <c r="J37" s="730" t="n"/>
      <c r="K37" s="730" t="n"/>
      <c r="L37" s="730" t="n"/>
      <c r="M37" s="730" t="n"/>
      <c r="N37" s="730" t="n"/>
      <c r="O37" s="731" t="n"/>
      <c r="P37" s="626" t="n"/>
      <c r="Q37" s="626" t="n"/>
      <c r="R37" s="631" t="n"/>
      <c r="S37" s="617" t="n"/>
      <c r="T37" s="659" t="n"/>
      <c r="U37" s="659" t="n"/>
      <c r="V37" s="659" t="n"/>
      <c r="W37" s="659" t="n"/>
      <c r="X37" s="659" t="n"/>
      <c r="Y37" s="659" t="n"/>
      <c r="Z37" s="659" t="n"/>
      <c r="AA37" s="659" t="n"/>
      <c r="AB37" s="659" t="n"/>
      <c r="AC37" s="617" t="n"/>
      <c r="AD37" s="617" t="n"/>
      <c r="AE37" s="617" t="n"/>
    </row>
    <row r="38" ht="18" customHeight="1" s="614">
      <c r="A38" s="732" t="inlineStr">
        <is>
          <t xml:space="preserve">　備　　考</t>
        </is>
      </c>
      <c r="G38" s="733" t="n"/>
      <c r="H38" s="639" t="n"/>
      <c r="I38" s="734" t="n"/>
      <c r="J38" s="735" t="n"/>
      <c r="K38" s="735" t="n"/>
      <c r="L38" s="735" t="n"/>
      <c r="M38" s="735" t="n"/>
      <c r="N38" s="736" t="n"/>
      <c r="O38" s="737" t="n"/>
      <c r="P38" s="639" t="n"/>
      <c r="Q38" s="639" t="n"/>
      <c r="R38" s="665" t="n"/>
      <c r="S38" s="617" t="n"/>
      <c r="T38" s="659" t="n"/>
      <c r="U38" s="659" t="n"/>
      <c r="V38" s="659" t="n"/>
      <c r="W38" s="659" t="n"/>
      <c r="X38" s="659" t="n"/>
      <c r="Y38" s="659" t="n"/>
      <c r="Z38" s="659" t="n"/>
      <c r="AA38" s="659" t="n"/>
      <c r="AB38" s="659" t="n"/>
      <c r="AC38" s="617" t="n"/>
      <c r="AD38" s="617" t="n"/>
      <c r="AE38" s="617" t="n"/>
    </row>
    <row r="39" ht="18" customHeight="1" s="614">
      <c r="A39" s="738" t="n"/>
      <c r="R39" s="651" t="n"/>
      <c r="S39" s="617" t="n"/>
      <c r="T39" s="659" t="n"/>
      <c r="U39" s="659" t="n"/>
      <c r="V39" s="659" t="n"/>
      <c r="W39" s="659" t="n"/>
      <c r="X39" s="659" t="n"/>
      <c r="Y39" s="659" t="n"/>
      <c r="Z39" s="659" t="n"/>
      <c r="AA39" s="659" t="n"/>
      <c r="AB39" s="659" t="n"/>
      <c r="AC39" s="617" t="n"/>
      <c r="AD39" s="617" t="n"/>
      <c r="AE39" s="617" t="n"/>
    </row>
    <row r="40" ht="18" customHeight="1" s="614">
      <c r="A40" s="667" t="n"/>
      <c r="R40" s="651" t="n"/>
      <c r="S40" s="617" t="n"/>
      <c r="T40" s="659" t="n"/>
      <c r="U40" s="659" t="n"/>
      <c r="V40" s="659" t="n"/>
      <c r="W40" s="659" t="n"/>
      <c r="X40" s="659" t="n"/>
      <c r="Y40" s="659" t="n"/>
      <c r="Z40" s="659" t="n"/>
      <c r="AA40" s="659" t="n"/>
      <c r="AB40" s="659" t="n"/>
      <c r="AC40" s="617" t="n"/>
      <c r="AD40" s="617" t="n"/>
      <c r="AE40" s="617" t="n"/>
    </row>
    <row r="41" ht="18" customHeight="1" s="614">
      <c r="A41" s="667" t="n"/>
      <c r="R41" s="651" t="n"/>
      <c r="S41" s="617" t="n"/>
      <c r="T41" s="659" t="n"/>
      <c r="U41" s="659" t="n"/>
      <c r="V41" s="659" t="n"/>
      <c r="W41" s="659" t="n"/>
      <c r="X41" s="659" t="n"/>
      <c r="Y41" s="659" t="n"/>
      <c r="Z41" s="659" t="n"/>
      <c r="AA41" s="659" t="n"/>
      <c r="AB41" s="659" t="n"/>
      <c r="AC41" s="617" t="n"/>
      <c r="AD41" s="617" t="n"/>
      <c r="AE41" s="617" t="n"/>
    </row>
    <row r="42" ht="18" customHeight="1" s="614">
      <c r="A42" s="667" t="n"/>
      <c r="R42" s="651" t="n"/>
      <c r="S42" s="617" t="n"/>
      <c r="T42" s="659" t="n"/>
      <c r="U42" s="659" t="n"/>
      <c r="V42" s="659" t="n"/>
      <c r="W42" s="659" t="n"/>
      <c r="X42" s="659" t="n"/>
      <c r="Y42" s="659" t="n"/>
      <c r="Z42" s="659" t="n"/>
      <c r="AA42" s="659" t="n"/>
      <c r="AB42" s="659" t="n"/>
      <c r="AC42" s="617" t="n"/>
      <c r="AD42" s="617" t="n"/>
      <c r="AE42" s="617" t="n"/>
    </row>
    <row r="43" ht="18" customHeight="1" s="614">
      <c r="A43" s="667" t="n"/>
      <c r="R43" s="651" t="n"/>
      <c r="S43" s="617" t="n"/>
      <c r="T43" s="659" t="n"/>
      <c r="U43" s="659" t="n"/>
      <c r="V43" s="659" t="n"/>
      <c r="W43" s="659" t="n"/>
      <c r="X43" s="659" t="n"/>
      <c r="Y43" s="659" t="n"/>
      <c r="Z43" s="659" t="n"/>
      <c r="AA43" s="659" t="n"/>
      <c r="AB43" s="659" t="n"/>
      <c r="AC43" s="617" t="n"/>
      <c r="AD43" s="617" t="n"/>
      <c r="AE43" s="617" t="n"/>
    </row>
    <row r="44" ht="18" customHeight="1" s="614">
      <c r="A44" s="667" t="n"/>
      <c r="R44" s="651" t="n"/>
      <c r="S44" s="617" t="n"/>
      <c r="T44" s="659" t="n"/>
      <c r="U44" s="659" t="n"/>
      <c r="V44" s="659" t="n"/>
      <c r="W44" s="659" t="n"/>
      <c r="X44" s="659" t="n"/>
      <c r="Y44" s="659" t="n"/>
      <c r="Z44" s="659" t="n"/>
      <c r="AA44" s="659" t="n"/>
      <c r="AB44" s="659" t="n"/>
      <c r="AC44" s="617" t="n"/>
      <c r="AD44" s="617" t="n"/>
      <c r="AE44" s="617" t="n"/>
    </row>
    <row r="45" ht="18" customHeight="1" s="614">
      <c r="A45" s="667" t="n"/>
      <c r="R45" s="651" t="n"/>
      <c r="S45" s="617" t="n"/>
      <c r="T45" s="659" t="n"/>
      <c r="U45" s="659" t="n"/>
      <c r="V45" s="659" t="n"/>
      <c r="W45" s="659" t="n"/>
      <c r="X45" s="659" t="n"/>
      <c r="Y45" s="659" t="n"/>
      <c r="Z45" s="659" t="n"/>
      <c r="AA45" s="659" t="n"/>
      <c r="AB45" s="659" t="n"/>
      <c r="AC45" s="617" t="n"/>
      <c r="AD45" s="617" t="n"/>
      <c r="AE45" s="617" t="n"/>
    </row>
    <row r="46" ht="18" customHeight="1" s="614">
      <c r="A46" s="739" t="n"/>
      <c r="B46" s="618" t="n"/>
      <c r="C46" s="618" t="n"/>
      <c r="D46" s="618" t="n"/>
      <c r="E46" s="618" t="n"/>
      <c r="F46" s="618" t="n"/>
      <c r="G46" s="618" t="n"/>
      <c r="H46" s="618" t="n"/>
      <c r="I46" s="618" t="n"/>
      <c r="J46" s="618" t="n"/>
      <c r="K46" s="618" t="n"/>
      <c r="L46" s="618" t="n"/>
      <c r="M46" s="618" t="n"/>
      <c r="N46" s="618" t="n"/>
      <c r="O46" s="618" t="n"/>
      <c r="P46" s="618" t="n"/>
      <c r="Q46" s="618" t="n"/>
      <c r="R46" s="740" t="n"/>
      <c r="S46" s="617" t="n"/>
      <c r="T46" s="659" t="n"/>
      <c r="U46" s="659" t="n"/>
      <c r="V46" s="659" t="n"/>
      <c r="W46" s="659" t="n"/>
      <c r="X46" s="659" t="n"/>
      <c r="Y46" s="659" t="n"/>
      <c r="Z46" s="659" t="n"/>
      <c r="AA46" s="659" t="n"/>
      <c r="AB46" s="659" t="n"/>
      <c r="AC46" s="617" t="n"/>
      <c r="AD46" s="617" t="n"/>
      <c r="AE46" s="617" t="n"/>
    </row>
    <row r="47" ht="29.25" customHeight="1" s="614">
      <c r="A47" s="615" t="inlineStr">
        <is>
          <t>加計浄化センター維持管理週報</t>
        </is>
      </c>
      <c r="M47" s="617" t="n"/>
      <c r="N47" s="617" t="n"/>
      <c r="O47" s="617" t="n"/>
      <c r="P47" s="617" t="n"/>
      <c r="Q47" s="617" t="n"/>
      <c r="R47" s="617" t="n"/>
      <c r="S47" s="617" t="n"/>
      <c r="T47" s="659" t="n"/>
      <c r="U47" s="659" t="n"/>
      <c r="V47" s="659" t="n"/>
      <c r="W47" s="659" t="n"/>
      <c r="X47" s="659" t="n"/>
      <c r="Y47" s="659" t="n"/>
      <c r="Z47" s="659" t="n"/>
      <c r="AA47" s="659" t="n"/>
      <c r="AB47" s="659" t="n"/>
      <c r="AC47" s="617" t="n"/>
      <c r="AD47" s="617" t="n"/>
      <c r="AE47" s="617" t="n"/>
    </row>
    <row r="48" ht="15" customHeight="1" s="614">
      <c r="A48" s="618" t="n"/>
      <c r="B48" s="618" t="n"/>
      <c r="C48" s="618" t="n"/>
      <c r="D48" s="618" t="n"/>
      <c r="E48" s="618" t="n"/>
      <c r="F48" s="618" t="n"/>
      <c r="G48" s="618" t="n"/>
      <c r="H48" s="618" t="n"/>
      <c r="I48" s="618" t="n"/>
      <c r="J48" s="618" t="n"/>
      <c r="K48" s="618" t="n"/>
      <c r="L48" s="618" t="n"/>
      <c r="M48" s="617" t="n"/>
      <c r="N48" s="617" t="n"/>
      <c r="O48" s="617" t="n"/>
      <c r="P48" s="617" t="n"/>
      <c r="Q48" s="617" t="n"/>
      <c r="R48" s="617" t="n"/>
      <c r="S48" s="617" t="n"/>
      <c r="T48" s="659" t="n"/>
      <c r="U48" s="659" t="n"/>
      <c r="V48" s="659" t="n"/>
      <c r="W48" s="659" t="n"/>
      <c r="X48" s="659" t="n"/>
      <c r="Y48" s="659" t="n"/>
      <c r="Z48" s="659" t="n"/>
      <c r="AA48" s="659" t="n"/>
      <c r="AB48" s="659" t="n"/>
      <c r="AC48" s="617" t="n"/>
      <c r="AD48" s="617" t="n"/>
      <c r="AE48" s="617" t="n"/>
    </row>
    <row r="49" ht="18" customHeight="1" s="614">
      <c r="A49" s="619" t="n"/>
      <c r="B49" s="620" t="n"/>
      <c r="C49" s="620" t="n"/>
      <c r="D49" s="620" t="n"/>
      <c r="E49" s="620" t="n"/>
      <c r="F49" s="620" t="n"/>
      <c r="G49" s="620" t="n"/>
      <c r="H49" s="621" t="n"/>
      <c r="I49" s="741" t="n"/>
      <c r="J49" s="622" t="n"/>
      <c r="K49" s="622" t="n"/>
      <c r="L49" s="622" t="n"/>
      <c r="M49" s="622" t="n"/>
      <c r="N49" s="622" t="n"/>
      <c r="O49" s="623" t="inlineStr">
        <is>
          <t>平均</t>
        </is>
      </c>
      <c r="P49" s="620" t="n"/>
      <c r="Q49" s="620" t="n"/>
      <c r="R49" s="624" t="n"/>
      <c r="S49" s="617" t="n"/>
      <c r="T49" s="659" t="n"/>
      <c r="U49" s="659" t="n"/>
      <c r="V49" s="659" t="n"/>
      <c r="W49" s="659" t="n"/>
      <c r="X49" s="659" t="n"/>
      <c r="Y49" s="659" t="n"/>
      <c r="Z49" s="659" t="n"/>
      <c r="AA49" s="659" t="n"/>
      <c r="AB49" s="659" t="n"/>
      <c r="AC49" s="617" t="n"/>
      <c r="AD49" s="617" t="n"/>
      <c r="AE49" s="617" t="n"/>
    </row>
    <row r="50" ht="18" customHeight="1" s="614">
      <c r="A50" s="625" t="inlineStr">
        <is>
          <t>全日電力量</t>
        </is>
      </c>
      <c r="B50" s="626" t="n"/>
      <c r="C50" s="626" t="n"/>
      <c r="D50" s="626" t="n"/>
      <c r="E50" s="626" t="n"/>
      <c r="F50" s="627" t="n"/>
      <c r="G50" s="628" t="inlineStr">
        <is>
          <t>Kｗｈ</t>
        </is>
      </c>
      <c r="H50" s="627" t="n"/>
      <c r="I50" s="629" t="n"/>
      <c r="J50" s="629" t="n"/>
      <c r="K50" s="629" t="n"/>
      <c r="L50" s="629" t="n"/>
      <c r="M50" s="629" t="n"/>
      <c r="N50" s="634" t="n"/>
      <c r="O50" s="742" t="n"/>
      <c r="P50" s="626" t="n"/>
      <c r="Q50" s="626" t="n"/>
      <c r="R50" s="631" t="n"/>
      <c r="S50" s="617" t="n"/>
      <c r="T50" s="659" t="n"/>
      <c r="U50" s="659" t="n"/>
      <c r="V50" s="659" t="n"/>
      <c r="W50" s="659" t="n"/>
      <c r="X50" s="659" t="n"/>
      <c r="Y50" s="659" t="n"/>
      <c r="Z50" s="659" t="n"/>
      <c r="AA50" s="659" t="n"/>
      <c r="AB50" s="659" t="n"/>
      <c r="AC50" s="617" t="n"/>
      <c r="AD50" s="617" t="n"/>
      <c r="AE50" s="617" t="n"/>
    </row>
    <row r="51" ht="18" customHeight="1" s="614">
      <c r="A51" s="625" t="inlineStr">
        <is>
          <t>力測電力量</t>
        </is>
      </c>
      <c r="B51" s="626" t="n"/>
      <c r="C51" s="626" t="n"/>
      <c r="D51" s="626" t="n"/>
      <c r="E51" s="626" t="n"/>
      <c r="F51" s="627" t="n"/>
      <c r="G51" s="628" t="inlineStr">
        <is>
          <t>Kｗｈ</t>
        </is>
      </c>
      <c r="H51" s="627" t="n"/>
      <c r="I51" s="629" t="n"/>
      <c r="J51" s="629" t="n"/>
      <c r="K51" s="629" t="n"/>
      <c r="L51" s="629" t="n"/>
      <c r="M51" s="743" t="n"/>
      <c r="N51" s="744" t="n"/>
      <c r="O51" s="742" t="n"/>
      <c r="P51" s="626" t="n"/>
      <c r="Q51" s="626" t="n"/>
      <c r="R51" s="631" t="n"/>
      <c r="S51" s="617" t="n"/>
      <c r="T51" s="659" t="n"/>
      <c r="U51" s="659" t="n"/>
      <c r="V51" s="659" t="n"/>
      <c r="W51" s="659" t="n"/>
      <c r="X51" s="659" t="n"/>
      <c r="Y51" s="659" t="n"/>
      <c r="Z51" s="659" t="n"/>
      <c r="AA51" s="659" t="n"/>
      <c r="AB51" s="659" t="n"/>
      <c r="AC51" s="617" t="n"/>
      <c r="AD51" s="617" t="n"/>
      <c r="AE51" s="617" t="n"/>
    </row>
    <row r="52" ht="18" customHeight="1" s="614">
      <c r="A52" s="625" t="inlineStr">
        <is>
          <t>無効電力量</t>
        </is>
      </c>
      <c r="B52" s="626" t="n"/>
      <c r="C52" s="626" t="n"/>
      <c r="D52" s="626" t="n"/>
      <c r="E52" s="626" t="n"/>
      <c r="F52" s="627" t="n"/>
      <c r="G52" s="628" t="inlineStr">
        <is>
          <t>Kvar</t>
        </is>
      </c>
      <c r="H52" s="627" t="n"/>
      <c r="I52" s="629" t="n"/>
      <c r="J52" s="629" t="n"/>
      <c r="K52" s="629" t="n"/>
      <c r="L52" s="629" t="n"/>
      <c r="M52" s="629" t="n"/>
      <c r="N52" s="629" t="n"/>
      <c r="O52" s="742" t="n"/>
      <c r="P52" s="626" t="n"/>
      <c r="Q52" s="626" t="n"/>
      <c r="R52" s="631" t="n"/>
      <c r="S52" s="617" t="n"/>
      <c r="T52" s="659" t="n"/>
      <c r="U52" s="659" t="n"/>
      <c r="V52" s="659" t="n"/>
      <c r="W52" s="659" t="n"/>
      <c r="X52" s="659" t="n"/>
      <c r="Y52" s="659" t="n"/>
      <c r="Z52" s="659" t="n"/>
      <c r="AA52" s="659" t="n"/>
      <c r="AB52" s="659" t="n"/>
      <c r="AC52" s="617" t="n"/>
      <c r="AD52" s="617" t="n"/>
      <c r="AE52" s="617" t="n"/>
    </row>
    <row r="53" ht="18" customHeight="1" s="614">
      <c r="A53" s="625" t="inlineStr">
        <is>
          <t>デマンド</t>
        </is>
      </c>
      <c r="B53" s="626" t="n"/>
      <c r="C53" s="626" t="n"/>
      <c r="D53" s="626" t="n"/>
      <c r="E53" s="626" t="n"/>
      <c r="F53" s="627" t="n"/>
      <c r="G53" s="628" t="inlineStr">
        <is>
          <t>Kw</t>
        </is>
      </c>
      <c r="H53" s="627" t="n"/>
      <c r="I53" s="629" t="n"/>
      <c r="J53" s="629" t="n"/>
      <c r="K53" s="629" t="n"/>
      <c r="L53" s="629" t="n"/>
      <c r="M53" s="629" t="n"/>
      <c r="N53" s="629" t="n"/>
      <c r="O53" s="742" t="n"/>
      <c r="P53" s="626" t="n"/>
      <c r="Q53" s="626" t="n"/>
      <c r="R53" s="631" t="n"/>
      <c r="S53" s="617" t="n"/>
      <c r="T53" s="659" t="n"/>
      <c r="U53" s="659" t="n"/>
      <c r="V53" s="659" t="n"/>
      <c r="W53" s="659" t="n"/>
      <c r="X53" s="659" t="n"/>
      <c r="Y53" s="659" t="n"/>
      <c r="Z53" s="659" t="n"/>
      <c r="AA53" s="659" t="n"/>
      <c r="AB53" s="659" t="n"/>
      <c r="AC53" s="617" t="n"/>
      <c r="AD53" s="617" t="n"/>
      <c r="AE53" s="617" t="n"/>
    </row>
    <row r="54" ht="18" customHeight="1" s="614">
      <c r="A54" s="625" t="inlineStr">
        <is>
          <t>水道使用量</t>
        </is>
      </c>
      <c r="B54" s="626" t="n"/>
      <c r="C54" s="626" t="n"/>
      <c r="D54" s="626" t="n"/>
      <c r="E54" s="626" t="n"/>
      <c r="F54" s="627" t="n"/>
      <c r="G54" s="635" t="inlineStr">
        <is>
          <t>㎥</t>
        </is>
      </c>
      <c r="H54" s="627" t="n"/>
      <c r="I54" s="629" t="n"/>
      <c r="J54" s="629" t="n"/>
      <c r="K54" s="629" t="n"/>
      <c r="L54" s="629" t="n"/>
      <c r="M54" s="629" t="n"/>
      <c r="N54" s="634" t="n"/>
      <c r="O54" s="742" t="n"/>
      <c r="P54" s="626" t="n"/>
      <c r="Q54" s="626" t="n"/>
      <c r="R54" s="631" t="n"/>
      <c r="S54" s="617" t="n"/>
      <c r="T54" s="659" t="n"/>
      <c r="U54" s="659" t="n"/>
      <c r="V54" s="659" t="n"/>
      <c r="W54" s="659" t="n"/>
      <c r="X54" s="659" t="n"/>
      <c r="Y54" s="659" t="n"/>
      <c r="Z54" s="659" t="n"/>
      <c r="AA54" s="659" t="n"/>
      <c r="AB54" s="659" t="n"/>
      <c r="AC54" s="617" t="n"/>
      <c r="AD54" s="617" t="n"/>
      <c r="AE54" s="617" t="n"/>
    </row>
    <row r="55" ht="18" customHeight="1" s="614">
      <c r="A55" s="625" t="inlineStr">
        <is>
          <t>軽油(残量)</t>
        </is>
      </c>
      <c r="B55" s="626" t="n"/>
      <c r="C55" s="626" t="n"/>
      <c r="D55" s="626" t="n"/>
      <c r="E55" s="626" t="n"/>
      <c r="F55" s="627" t="n"/>
      <c r="G55" s="628" t="inlineStr">
        <is>
          <t>ℓ</t>
        </is>
      </c>
      <c r="H55" s="627" t="n"/>
      <c r="I55" s="636" t="n"/>
      <c r="J55" s="636" t="n"/>
      <c r="K55" s="636" t="n"/>
      <c r="L55" s="636" t="n"/>
      <c r="M55" s="636" t="n"/>
      <c r="N55" s="636" t="n"/>
      <c r="O55" s="742" t="n"/>
      <c r="P55" s="626" t="n"/>
      <c r="Q55" s="626" t="n"/>
      <c r="R55" s="631" t="n"/>
      <c r="S55" s="617" t="n"/>
      <c r="T55" s="659" t="n"/>
      <c r="U55" s="659" t="n"/>
      <c r="V55" s="659" t="n"/>
      <c r="W55" s="659" t="n"/>
      <c r="X55" s="659" t="n"/>
      <c r="Y55" s="659" t="n"/>
      <c r="Z55" s="659" t="n"/>
      <c r="AA55" s="659" t="n"/>
      <c r="AB55" s="659" t="n"/>
      <c r="AC55" s="617" t="n"/>
      <c r="AD55" s="617" t="n"/>
      <c r="AE55" s="617" t="n"/>
    </row>
    <row r="56" ht="18" customHeight="1" s="614">
      <c r="A56" s="625" t="inlineStr">
        <is>
          <t>返送汚泥流量</t>
        </is>
      </c>
      <c r="B56" s="626" t="n"/>
      <c r="C56" s="626" t="n"/>
      <c r="D56" s="626" t="n"/>
      <c r="E56" s="626" t="n"/>
      <c r="F56" s="627" t="n"/>
      <c r="G56" s="635" t="inlineStr">
        <is>
          <t>㎥</t>
        </is>
      </c>
      <c r="H56" s="627" t="n"/>
      <c r="I56" s="636" t="n"/>
      <c r="J56" s="636" t="n"/>
      <c r="K56" s="636" t="n"/>
      <c r="L56" s="636" t="n"/>
      <c r="M56" s="636" t="n"/>
      <c r="N56" s="745" t="n"/>
      <c r="O56" s="742" t="n"/>
      <c r="P56" s="626" t="n"/>
      <c r="Q56" s="626" t="n"/>
      <c r="R56" s="631" t="n"/>
      <c r="S56" s="617" t="n"/>
      <c r="T56" s="659" t="n"/>
      <c r="U56" s="659" t="n"/>
      <c r="V56" s="659" t="n"/>
      <c r="W56" s="659" t="n"/>
      <c r="X56" s="659" t="n"/>
      <c r="Y56" s="659" t="n"/>
      <c r="Z56" s="659" t="n"/>
      <c r="AA56" s="659" t="n"/>
      <c r="AB56" s="659" t="n"/>
      <c r="AC56" s="617" t="n"/>
      <c r="AD56" s="617" t="n"/>
      <c r="AE56" s="617" t="n"/>
    </row>
    <row r="57" ht="18" customHeight="1" s="614">
      <c r="A57" s="625" t="inlineStr">
        <is>
          <t>余剰汚泥流量</t>
        </is>
      </c>
      <c r="B57" s="626" t="n"/>
      <c r="C57" s="626" t="n"/>
      <c r="D57" s="626" t="n"/>
      <c r="E57" s="626" t="n"/>
      <c r="F57" s="627" t="n"/>
      <c r="G57" s="635" t="inlineStr">
        <is>
          <t>㎥</t>
        </is>
      </c>
      <c r="H57" s="627" t="n"/>
      <c r="I57" s="637" t="n"/>
      <c r="J57" s="637" t="n"/>
      <c r="K57" s="637" t="n"/>
      <c r="L57" s="637" t="n"/>
      <c r="M57" s="637" t="n"/>
      <c r="N57" s="637" t="n"/>
      <c r="O57" s="742" t="n"/>
      <c r="P57" s="626" t="n"/>
      <c r="Q57" s="626" t="n"/>
      <c r="R57" s="631" t="n"/>
      <c r="S57" s="617" t="n"/>
      <c r="T57" s="659" t="n"/>
      <c r="U57" s="659" t="n"/>
      <c r="V57" s="659" t="n"/>
      <c r="W57" s="659" t="n"/>
      <c r="X57" s="659" t="n"/>
      <c r="Y57" s="659" t="n"/>
      <c r="Z57" s="659" t="n"/>
      <c r="AA57" s="659" t="n"/>
      <c r="AB57" s="659" t="n"/>
      <c r="AC57" s="617" t="n"/>
      <c r="AD57" s="617" t="n"/>
      <c r="AE57" s="617" t="n"/>
    </row>
    <row r="58" ht="18" customHeight="1" s="614">
      <c r="A58" s="638" t="inlineStr">
        <is>
          <t>放流流量</t>
        </is>
      </c>
      <c r="B58" s="639" t="n"/>
      <c r="C58" s="639" t="n"/>
      <c r="D58" s="639" t="n"/>
      <c r="E58" s="639" t="n"/>
      <c r="F58" s="640" t="n"/>
      <c r="G58" s="641" t="inlineStr">
        <is>
          <t>㎥</t>
        </is>
      </c>
      <c r="H58" s="640" t="n"/>
      <c r="I58" s="642" t="n"/>
      <c r="J58" s="642" t="n"/>
      <c r="K58" s="642" t="n"/>
      <c r="L58" s="642" t="n"/>
      <c r="M58" s="642" t="n"/>
      <c r="N58" s="746" t="n"/>
      <c r="O58" s="742" t="n"/>
      <c r="P58" s="626" t="n"/>
      <c r="Q58" s="626" t="n"/>
      <c r="R58" s="631" t="n"/>
      <c r="S58" s="617" t="n"/>
      <c r="T58" s="659" t="n"/>
      <c r="U58" s="659" t="n"/>
      <c r="V58" s="659" t="n"/>
      <c r="W58" s="659" t="n"/>
      <c r="X58" s="659" t="n"/>
      <c r="Y58" s="659" t="n"/>
      <c r="Z58" s="659" t="n"/>
      <c r="AA58" s="659" t="n"/>
      <c r="AB58" s="659" t="n"/>
      <c r="AC58" s="617" t="n"/>
      <c r="AD58" s="617" t="n"/>
      <c r="AE58" s="617" t="n"/>
    </row>
    <row r="59" ht="45" customHeight="1" s="614">
      <c r="A59" s="643" t="inlineStr">
        <is>
          <t>日 常 水 質 測 定 結 果</t>
        </is>
      </c>
      <c r="B59" s="644" t="n"/>
      <c r="C59" s="644" t="n"/>
      <c r="D59" s="644" t="n"/>
      <c r="E59" s="644" t="n"/>
      <c r="F59" s="644" t="n"/>
      <c r="G59" s="644" t="n"/>
      <c r="H59" s="644" t="n"/>
      <c r="I59" s="644" t="n"/>
      <c r="J59" s="644" t="n"/>
      <c r="K59" s="644" t="n"/>
      <c r="L59" s="644" t="n"/>
      <c r="M59" s="644" t="n"/>
      <c r="N59" s="644" t="n"/>
      <c r="O59" s="644" t="n"/>
      <c r="P59" s="644" t="n"/>
      <c r="Q59" s="644" t="n"/>
      <c r="R59" s="645" t="n"/>
      <c r="S59" s="617" t="n"/>
      <c r="T59" s="617" t="n"/>
      <c r="U59" s="617" t="n"/>
      <c r="V59" s="617" t="n"/>
      <c r="W59" s="617" t="n"/>
      <c r="X59" s="617" t="n"/>
      <c r="Y59" s="617" t="n"/>
      <c r="Z59" s="617" t="n"/>
      <c r="AA59" s="617" t="n"/>
      <c r="AB59" s="617" t="n"/>
      <c r="AC59" s="617" t="n"/>
      <c r="AD59" s="617" t="n"/>
      <c r="AE59" s="617" t="n"/>
    </row>
    <row r="60" ht="18" customHeight="1" s="614">
      <c r="A60" s="646" t="inlineStr">
        <is>
          <t>測 定 項 目</t>
        </is>
      </c>
      <c r="H60" s="647" t="n"/>
      <c r="I60" s="648" t="inlineStr">
        <is>
          <t>測定日</t>
        </is>
      </c>
      <c r="J60" s="649" t="n"/>
      <c r="K60" s="649" t="n"/>
      <c r="L60" s="649" t="n"/>
      <c r="M60" s="649" t="n"/>
      <c r="N60" s="649" t="n"/>
      <c r="O60" s="650">
        <f>O49</f>
        <v/>
      </c>
      <c r="R60" s="651" t="n"/>
      <c r="S60" s="617" t="n"/>
      <c r="T60" s="617" t="n"/>
      <c r="U60" s="617" t="n"/>
      <c r="V60" s="617" t="n"/>
      <c r="W60" s="617" t="n"/>
      <c r="X60" s="617" t="n"/>
      <c r="Y60" s="617" t="n"/>
      <c r="Z60" s="617" t="n"/>
      <c r="AA60" s="617" t="n"/>
      <c r="AB60" s="617" t="n"/>
      <c r="AC60" s="617" t="n"/>
      <c r="AD60" s="617" t="n"/>
      <c r="AE60" s="617" t="n"/>
    </row>
    <row r="61" ht="18" customHeight="1" s="614">
      <c r="A61" s="652" t="n"/>
      <c r="B61" s="653" t="n"/>
      <c r="C61" s="653" t="n"/>
      <c r="D61" s="653" t="n"/>
      <c r="E61" s="653" t="n"/>
      <c r="F61" s="653" t="n"/>
      <c r="G61" s="653" t="n"/>
      <c r="H61" s="654" t="n"/>
      <c r="I61" s="655" t="inlineStr">
        <is>
          <t>測定者</t>
        </is>
      </c>
      <c r="J61" s="656" t="n"/>
      <c r="K61" s="656" t="n"/>
      <c r="L61" s="656" t="n"/>
      <c r="M61" s="656" t="n"/>
      <c r="N61" s="656" t="n"/>
      <c r="O61" s="657" t="n"/>
      <c r="P61" s="653" t="n"/>
      <c r="Q61" s="653" t="n"/>
      <c r="R61" s="658" t="n"/>
      <c r="S61" s="617" t="n"/>
      <c r="T61" s="659" t="n"/>
      <c r="U61" s="659" t="n"/>
      <c r="V61" s="659" t="n"/>
      <c r="W61" s="659" t="n"/>
      <c r="X61" s="659" t="n"/>
      <c r="Y61" s="659" t="n"/>
      <c r="Z61" s="659" t="n"/>
      <c r="AA61" s="659" t="n"/>
      <c r="AB61" s="659" t="n"/>
      <c r="AC61" s="617" t="n"/>
      <c r="AD61" s="617" t="n"/>
      <c r="AE61" s="617" t="n"/>
    </row>
    <row r="62" ht="18" customHeight="1" s="614">
      <c r="A62" s="660" t="inlineStr">
        <is>
          <t xml:space="preserve">水温　　　　　</t>
        </is>
      </c>
      <c r="B62" s="639" t="n"/>
      <c r="C62" s="639" t="n"/>
      <c r="D62" s="639" t="n"/>
      <c r="E62" s="639" t="n"/>
      <c r="F62" s="640" t="n"/>
      <c r="G62" s="661" t="inlineStr">
        <is>
          <t>℃</t>
        </is>
      </c>
      <c r="H62" s="640" t="n"/>
      <c r="I62" s="662" t="inlineStr">
        <is>
          <t>流入</t>
        </is>
      </c>
      <c r="J62" s="663" t="n"/>
      <c r="K62" s="663" t="n"/>
      <c r="L62" s="663" t="n"/>
      <c r="M62" s="663" t="n"/>
      <c r="N62" s="663" t="n"/>
      <c r="O62" s="664" t="n"/>
      <c r="P62" s="639" t="n"/>
      <c r="Q62" s="639" t="n"/>
      <c r="R62" s="665" t="n"/>
      <c r="S62" s="666" t="n"/>
      <c r="T62" s="659" t="n"/>
      <c r="U62" s="659" t="n"/>
      <c r="V62" s="659" t="n"/>
      <c r="W62" s="659" t="n"/>
      <c r="X62" s="659" t="n"/>
      <c r="Y62" s="659" t="n"/>
      <c r="Z62" s="659" t="n"/>
      <c r="AA62" s="659" t="n"/>
      <c r="AB62" s="659" t="n"/>
      <c r="AC62" s="617" t="n"/>
      <c r="AD62" s="617" t="n"/>
      <c r="AE62" s="617" t="n"/>
    </row>
    <row r="63" ht="18" customHeight="1" s="614">
      <c r="A63" s="667" t="n"/>
      <c r="F63" s="647" t="n"/>
      <c r="G63" s="668" t="n"/>
      <c r="H63" s="647" t="n"/>
      <c r="I63" s="669" t="inlineStr">
        <is>
          <t>ディッチ</t>
        </is>
      </c>
      <c r="J63" s="670" t="n"/>
      <c r="K63" s="670" t="n"/>
      <c r="L63" s="670" t="n"/>
      <c r="M63" s="670" t="n"/>
      <c r="N63" s="747" t="n"/>
      <c r="O63" s="671" t="n"/>
      <c r="P63" s="672" t="n"/>
      <c r="Q63" s="672" t="n"/>
      <c r="R63" s="673" t="n"/>
      <c r="S63" s="674" t="n"/>
      <c r="T63" s="675" t="n"/>
      <c r="AC63" s="617" t="n"/>
      <c r="AD63" s="617" t="n"/>
      <c r="AE63" s="617" t="n"/>
    </row>
    <row r="64" ht="18" customHeight="1" s="614">
      <c r="A64" s="652" t="n"/>
      <c r="B64" s="653" t="n"/>
      <c r="C64" s="653" t="n"/>
      <c r="D64" s="653" t="n"/>
      <c r="E64" s="653" t="n"/>
      <c r="F64" s="654" t="n"/>
      <c r="G64" s="657" t="n"/>
      <c r="H64" s="654" t="n"/>
      <c r="I64" s="676" t="inlineStr">
        <is>
          <t>放流</t>
        </is>
      </c>
      <c r="J64" s="677" t="n"/>
      <c r="K64" s="677" t="n"/>
      <c r="L64" s="677" t="n"/>
      <c r="M64" s="677" t="n"/>
      <c r="N64" s="748" t="n"/>
      <c r="O64" s="678" t="n"/>
      <c r="P64" s="653" t="n"/>
      <c r="Q64" s="653" t="n"/>
      <c r="R64" s="658" t="n"/>
      <c r="S64" s="674" t="n"/>
      <c r="AC64" s="617" t="n"/>
      <c r="AD64" s="617" t="n"/>
      <c r="AE64" s="617" t="n"/>
    </row>
    <row r="65" ht="18" customHeight="1" s="614">
      <c r="A65" s="660" t="inlineStr">
        <is>
          <t>外観</t>
        </is>
      </c>
      <c r="B65" s="640" t="n"/>
      <c r="C65" s="679" t="inlineStr">
        <is>
          <t>油膜・色合</t>
        </is>
      </c>
      <c r="D65" s="639" t="n"/>
      <c r="E65" s="639" t="n"/>
      <c r="F65" s="639" t="n"/>
      <c r="G65" s="639" t="n"/>
      <c r="H65" s="640" t="n"/>
      <c r="I65" s="662" t="inlineStr">
        <is>
          <t>流入</t>
        </is>
      </c>
      <c r="J65" s="680" t="n"/>
      <c r="K65" s="680" t="n"/>
      <c r="L65" s="680" t="n"/>
      <c r="M65" s="680" t="n"/>
      <c r="N65" s="680" t="n"/>
      <c r="O65" s="681" t="n"/>
      <c r="P65" s="639" t="n"/>
      <c r="Q65" s="639" t="n"/>
      <c r="R65" s="665" t="n"/>
      <c r="S65" s="617" t="n"/>
      <c r="T65" s="659" t="n"/>
      <c r="U65" s="659" t="n"/>
      <c r="V65" s="659" t="n"/>
      <c r="W65" s="659" t="n"/>
      <c r="X65" s="659" t="n"/>
      <c r="Y65" s="659" t="n"/>
      <c r="Z65" s="659" t="n"/>
      <c r="AA65" s="659" t="n"/>
      <c r="AB65" s="659" t="n"/>
      <c r="AC65" s="617" t="n"/>
      <c r="AD65" s="617" t="n"/>
      <c r="AE65" s="617" t="n"/>
    </row>
    <row r="66" ht="18" customHeight="1" s="614">
      <c r="A66" s="667" t="n"/>
      <c r="B66" s="647" t="n"/>
      <c r="C66" s="668" t="n"/>
      <c r="H66" s="647" t="n"/>
      <c r="I66" s="669" t="inlineStr">
        <is>
          <t>ディッチ</t>
        </is>
      </c>
      <c r="J66" s="682" t="n"/>
      <c r="K66" s="682" t="n"/>
      <c r="L66" s="682" t="n"/>
      <c r="M66" s="682" t="n"/>
      <c r="N66" s="682" t="n"/>
      <c r="O66" s="683" t="n"/>
      <c r="P66" s="672" t="n"/>
      <c r="Q66" s="672" t="n"/>
      <c r="R66" s="673" t="n"/>
      <c r="S66" s="617" t="n"/>
      <c r="T66" s="659" t="n"/>
      <c r="U66" s="659" t="n"/>
      <c r="V66" s="659" t="n"/>
      <c r="W66" s="659" t="n"/>
      <c r="X66" s="659" t="n"/>
      <c r="Y66" s="659" t="n"/>
      <c r="Z66" s="659" t="n"/>
      <c r="AA66" s="659" t="n"/>
      <c r="AB66" s="659" t="n"/>
      <c r="AC66" s="617" t="n"/>
      <c r="AD66" s="617" t="n"/>
      <c r="AE66" s="617" t="n"/>
    </row>
    <row r="67" ht="18" customHeight="1" s="614">
      <c r="A67" s="652" t="n"/>
      <c r="B67" s="654" t="n"/>
      <c r="C67" s="657" t="n"/>
      <c r="D67" s="653" t="n"/>
      <c r="E67" s="653" t="n"/>
      <c r="F67" s="653" t="n"/>
      <c r="G67" s="653" t="n"/>
      <c r="H67" s="654" t="n"/>
      <c r="I67" s="676" t="inlineStr">
        <is>
          <t>放流</t>
        </is>
      </c>
      <c r="J67" s="684" t="n"/>
      <c r="K67" s="684" t="n"/>
      <c r="L67" s="684" t="n"/>
      <c r="M67" s="684" t="n"/>
      <c r="N67" s="684" t="n"/>
      <c r="O67" s="685" t="n"/>
      <c r="R67" s="651" t="n"/>
      <c r="S67" s="617" t="n"/>
      <c r="T67" s="659" t="n"/>
      <c r="U67" s="659" t="n"/>
      <c r="V67" s="659" t="n"/>
      <c r="W67" s="659" t="n"/>
      <c r="X67" s="659" t="n"/>
      <c r="Y67" s="659" t="n"/>
      <c r="Z67" s="659" t="n"/>
      <c r="AA67" s="659" t="n"/>
      <c r="AB67" s="659" t="n"/>
      <c r="AC67" s="617" t="n"/>
      <c r="AD67" s="617" t="n"/>
      <c r="AE67" s="617" t="n"/>
    </row>
    <row r="68" ht="18" customHeight="1" s="614">
      <c r="A68" s="660" t="inlineStr">
        <is>
          <t>透視度</t>
        </is>
      </c>
      <c r="B68" s="639" t="n"/>
      <c r="C68" s="639" t="n"/>
      <c r="D68" s="639" t="n"/>
      <c r="E68" s="639" t="n"/>
      <c r="F68" s="640" t="n"/>
      <c r="G68" s="655" t="inlineStr">
        <is>
          <t>ｃｍ</t>
        </is>
      </c>
      <c r="H68" s="640" t="n"/>
      <c r="I68" s="662" t="inlineStr">
        <is>
          <t>流入水</t>
        </is>
      </c>
      <c r="J68" s="686" t="n"/>
      <c r="K68" s="686" t="n"/>
      <c r="L68" s="686" t="n"/>
      <c r="M68" s="686" t="n"/>
      <c r="N68" s="686" t="n"/>
      <c r="O68" s="687" t="n"/>
      <c r="P68" s="688" t="n"/>
      <c r="Q68" s="688" t="n"/>
      <c r="R68" s="689" t="n"/>
      <c r="S68" s="617" t="n"/>
      <c r="T68" s="659" t="n"/>
      <c r="U68" s="659" t="n"/>
      <c r="V68" s="659" t="n"/>
      <c r="W68" s="659" t="n"/>
      <c r="X68" s="659" t="n"/>
      <c r="Y68" s="659" t="n"/>
      <c r="Z68" s="659" t="n"/>
      <c r="AA68" s="659" t="n"/>
      <c r="AB68" s="659" t="n"/>
      <c r="AC68" s="617" t="n"/>
      <c r="AD68" s="617" t="n"/>
      <c r="AE68" s="617" t="n"/>
    </row>
    <row r="69" ht="18" customHeight="1" s="614">
      <c r="A69" s="652" t="n"/>
      <c r="B69" s="653" t="n"/>
      <c r="C69" s="653" t="n"/>
      <c r="D69" s="653" t="n"/>
      <c r="E69" s="653" t="n"/>
      <c r="F69" s="654" t="n"/>
      <c r="G69" s="657" t="n"/>
      <c r="H69" s="654" t="n"/>
      <c r="I69" s="676" t="inlineStr">
        <is>
          <t>放流水</t>
        </is>
      </c>
      <c r="J69" s="690" t="n"/>
      <c r="K69" s="690" t="n"/>
      <c r="L69" s="690" t="n"/>
      <c r="M69" s="690" t="n"/>
      <c r="N69" s="690" t="n"/>
      <c r="O69" s="691" t="n"/>
      <c r="P69" s="692" t="n"/>
      <c r="Q69" s="692" t="n"/>
      <c r="R69" s="693" t="n"/>
      <c r="S69" s="617" t="n"/>
      <c r="T69" s="659" t="n"/>
      <c r="U69" s="694" t="n"/>
      <c r="V69" s="659" t="n"/>
      <c r="W69" s="659" t="n"/>
      <c r="X69" s="659" t="n"/>
      <c r="Y69" s="659" t="n"/>
      <c r="Z69" s="659" t="n"/>
      <c r="AA69" s="659" t="n"/>
      <c r="AB69" s="659" t="n"/>
      <c r="AC69" s="617" t="n"/>
      <c r="AD69" s="617" t="n"/>
      <c r="AE69" s="617" t="n"/>
    </row>
    <row r="70" ht="18" customHeight="1" s="614">
      <c r="A70" s="660" t="inlineStr">
        <is>
          <t>臭気</t>
        </is>
      </c>
      <c r="B70" s="640" t="n"/>
      <c r="C70" s="695" t="inlineStr">
        <is>
          <t>腐敗臭</t>
        </is>
      </c>
      <c r="D70" s="639" t="n"/>
      <c r="E70" s="639" t="n"/>
      <c r="F70" s="640" t="n"/>
      <c r="G70" s="655" t="inlineStr">
        <is>
          <t>有無</t>
        </is>
      </c>
      <c r="H70" s="640" t="n"/>
      <c r="I70" s="662" t="inlineStr">
        <is>
          <t>流入</t>
        </is>
      </c>
      <c r="J70" s="696" t="n"/>
      <c r="K70" s="696" t="n"/>
      <c r="L70" s="696" t="n"/>
      <c r="M70" s="696" t="n"/>
      <c r="N70" s="696" t="n"/>
      <c r="O70" s="681" t="n"/>
      <c r="P70" s="639" t="n"/>
      <c r="Q70" s="639" t="n"/>
      <c r="R70" s="665" t="n"/>
      <c r="S70" s="617" t="n"/>
      <c r="T70" s="697" t="n"/>
      <c r="U70" s="698" t="n"/>
      <c r="V70" s="698" t="n"/>
      <c r="W70" s="698" t="n"/>
      <c r="X70" s="698" t="n"/>
      <c r="Y70" s="698" t="n"/>
      <c r="Z70" s="659" t="n"/>
      <c r="AA70" s="659" t="n"/>
      <c r="AB70" s="659" t="n"/>
      <c r="AC70" s="617" t="n"/>
      <c r="AD70" s="617" t="n"/>
      <c r="AE70" s="617" t="n"/>
    </row>
    <row r="71" ht="18" customHeight="1" s="614">
      <c r="A71" s="667" t="n"/>
      <c r="B71" s="647" t="n"/>
      <c r="C71" s="668" t="n"/>
      <c r="F71" s="647" t="n"/>
      <c r="G71" s="668" t="n"/>
      <c r="H71" s="647" t="n"/>
      <c r="I71" s="669" t="inlineStr">
        <is>
          <t>ディッチ</t>
        </is>
      </c>
      <c r="J71" s="684" t="n"/>
      <c r="K71" s="684" t="n"/>
      <c r="L71" s="684" t="n"/>
      <c r="M71" s="684" t="n"/>
      <c r="N71" s="684" t="n"/>
      <c r="O71" s="683" t="n"/>
      <c r="P71" s="672" t="n"/>
      <c r="Q71" s="672" t="n"/>
      <c r="R71" s="673" t="n"/>
      <c r="S71" s="617" t="n"/>
      <c r="T71" s="697" t="n"/>
      <c r="U71" s="698" t="n"/>
      <c r="V71" s="698" t="n"/>
      <c r="W71" s="698" t="n"/>
      <c r="X71" s="698" t="n"/>
      <c r="Y71" s="698" t="n"/>
      <c r="Z71" s="659" t="n"/>
      <c r="AA71" s="659" t="n"/>
      <c r="AB71" s="659" t="n"/>
      <c r="AC71" s="617" t="n"/>
      <c r="AD71" s="617" t="n"/>
      <c r="AE71" s="617" t="n"/>
    </row>
    <row r="72" ht="18" customHeight="1" s="614">
      <c r="A72" s="652" t="n"/>
      <c r="B72" s="654" t="n"/>
      <c r="C72" s="657" t="n"/>
      <c r="D72" s="653" t="n"/>
      <c r="E72" s="653" t="n"/>
      <c r="F72" s="654" t="n"/>
      <c r="G72" s="657" t="n"/>
      <c r="H72" s="654" t="n"/>
      <c r="I72" s="676" t="inlineStr">
        <is>
          <t>放流</t>
        </is>
      </c>
      <c r="J72" s="699" t="n"/>
      <c r="K72" s="699" t="n"/>
      <c r="L72" s="699" t="n"/>
      <c r="M72" s="699" t="n"/>
      <c r="N72" s="699" t="n"/>
      <c r="O72" s="700" t="n"/>
      <c r="P72" s="701" t="n"/>
      <c r="Q72" s="701" t="n"/>
      <c r="R72" s="702" t="n"/>
      <c r="S72" s="617" t="n"/>
      <c r="U72" s="698" t="n"/>
      <c r="V72" s="698" t="n"/>
      <c r="W72" s="698" t="n"/>
      <c r="X72" s="698" t="n"/>
      <c r="Y72" s="698" t="n"/>
      <c r="Z72" s="659" t="n"/>
      <c r="AA72" s="659" t="n"/>
      <c r="AB72" s="659" t="n"/>
      <c r="AC72" s="617" t="n"/>
      <c r="AD72" s="617" t="n"/>
      <c r="AE72" s="617" t="n"/>
    </row>
    <row r="73" ht="18" customHeight="1" s="614">
      <c r="A73" s="703" t="inlineStr">
        <is>
          <t>PH</t>
        </is>
      </c>
      <c r="B73" s="639" t="n"/>
      <c r="C73" s="639" t="n"/>
      <c r="D73" s="639" t="n"/>
      <c r="E73" s="639" t="n"/>
      <c r="F73" s="640" t="n"/>
      <c r="G73" s="661" t="inlineStr">
        <is>
          <t>―</t>
        </is>
      </c>
      <c r="H73" s="640" t="n"/>
      <c r="I73" s="662" t="inlineStr">
        <is>
          <t>流入</t>
        </is>
      </c>
      <c r="J73" s="704" t="n"/>
      <c r="K73" s="704" t="n"/>
      <c r="L73" s="704" t="n"/>
      <c r="M73" s="704" t="n"/>
      <c r="N73" s="749" t="n"/>
      <c r="O73" s="705" t="n"/>
      <c r="P73" s="706" t="n"/>
      <c r="Q73" s="706" t="n"/>
      <c r="R73" s="707" t="n"/>
      <c r="S73" s="617" t="n"/>
      <c r="T73" s="659" t="n"/>
      <c r="U73" s="659" t="n"/>
      <c r="V73" s="659" t="n"/>
      <c r="W73" s="659" t="n"/>
      <c r="X73" s="659" t="n"/>
      <c r="Y73" s="659" t="n"/>
      <c r="Z73" s="659" t="n"/>
      <c r="AA73" s="659" t="n"/>
      <c r="AB73" s="659" t="n"/>
      <c r="AC73" s="617" t="n"/>
      <c r="AD73" s="617" t="n"/>
      <c r="AE73" s="617" t="n"/>
    </row>
    <row r="74" ht="18" customHeight="1" s="614">
      <c r="A74" s="667" t="n"/>
      <c r="F74" s="647" t="n"/>
      <c r="G74" s="668" t="n"/>
      <c r="H74" s="647" t="n"/>
      <c r="I74" s="669" t="inlineStr">
        <is>
          <t>ディッチ</t>
        </is>
      </c>
      <c r="J74" s="708" t="n"/>
      <c r="K74" s="708" t="n"/>
      <c r="L74" s="708" t="n"/>
      <c r="M74" s="708" t="n"/>
      <c r="N74" s="750" t="n"/>
      <c r="O74" s="709" t="n"/>
      <c r="P74" s="701" t="n"/>
      <c r="Q74" s="701" t="n"/>
      <c r="R74" s="702" t="n"/>
      <c r="S74" s="617" t="n"/>
      <c r="T74" s="659" t="n"/>
      <c r="U74" s="659" t="n"/>
      <c r="V74" s="659" t="n"/>
      <c r="W74" s="659" t="n"/>
      <c r="X74" s="659" t="n"/>
      <c r="Y74" s="659" t="n"/>
      <c r="Z74" s="659" t="n"/>
      <c r="AA74" s="659" t="n"/>
      <c r="AB74" s="659" t="n"/>
      <c r="AC74" s="617" t="n"/>
      <c r="AD74" s="617" t="n"/>
      <c r="AE74" s="617" t="n"/>
    </row>
    <row r="75" ht="18" customHeight="1" s="614">
      <c r="A75" s="652" t="n"/>
      <c r="B75" s="653" t="n"/>
      <c r="C75" s="653" t="n"/>
      <c r="D75" s="653" t="n"/>
      <c r="E75" s="653" t="n"/>
      <c r="F75" s="654" t="n"/>
      <c r="G75" s="657" t="n"/>
      <c r="H75" s="654" t="n"/>
      <c r="I75" s="676" t="inlineStr">
        <is>
          <t>放流</t>
        </is>
      </c>
      <c r="J75" s="710" t="n"/>
      <c r="K75" s="710" t="n"/>
      <c r="L75" s="710" t="n"/>
      <c r="M75" s="710" t="n"/>
      <c r="N75" s="708" t="n"/>
      <c r="O75" s="711" t="n"/>
      <c r="P75" s="692" t="n"/>
      <c r="Q75" s="692" t="n"/>
      <c r="R75" s="693" t="n"/>
      <c r="S75" s="617" t="n"/>
      <c r="T75" s="712" t="n"/>
      <c r="Z75" s="659" t="n"/>
      <c r="AA75" s="659" t="n"/>
      <c r="AB75" s="659" t="n"/>
      <c r="AC75" s="617" t="n"/>
      <c r="AD75" s="617" t="n"/>
      <c r="AE75" s="617" t="n"/>
    </row>
    <row r="76" ht="18" customHeight="1" s="614">
      <c r="A76" s="713" t="inlineStr">
        <is>
          <t>SV</t>
        </is>
      </c>
      <c r="B76" s="640" t="n"/>
      <c r="C76" s="714" t="inlineStr">
        <is>
          <t>SV・10</t>
        </is>
      </c>
      <c r="D76" s="626" t="n"/>
      <c r="E76" s="626" t="n"/>
      <c r="F76" s="627" t="n"/>
      <c r="G76" s="655" t="inlineStr">
        <is>
          <t>％</t>
        </is>
      </c>
      <c r="H76" s="640" t="n"/>
      <c r="I76" s="715" t="inlineStr">
        <is>
          <t>ディッチ</t>
        </is>
      </c>
      <c r="J76" s="716" t="n"/>
      <c r="K76" s="716" t="n"/>
      <c r="L76" s="716" t="n"/>
      <c r="M76" s="716" t="n"/>
      <c r="N76" s="716" t="n"/>
      <c r="O76" s="717" t="n"/>
      <c r="P76" s="639" t="n"/>
      <c r="Q76" s="639" t="n"/>
      <c r="R76" s="665" t="n"/>
      <c r="S76" s="617" t="n"/>
      <c r="T76" s="712" t="n"/>
      <c r="Z76" s="659" t="n"/>
      <c r="AA76" s="659" t="n"/>
      <c r="AB76" s="659" t="n"/>
      <c r="AC76" s="617" t="n"/>
      <c r="AD76" s="617" t="n"/>
      <c r="AE76" s="617" t="n"/>
    </row>
    <row r="77" ht="18" customHeight="1" s="614">
      <c r="A77" s="667" t="n"/>
      <c r="B77" s="647" t="n"/>
      <c r="C77" s="714" t="inlineStr">
        <is>
          <t>SV・20</t>
        </is>
      </c>
      <c r="D77" s="626" t="n"/>
      <c r="E77" s="626" t="n"/>
      <c r="F77" s="627" t="n"/>
      <c r="G77" s="668" t="n"/>
      <c r="H77" s="647" t="n"/>
      <c r="I77" s="668" t="n"/>
      <c r="J77" s="718" t="n"/>
      <c r="K77" s="718" t="n"/>
      <c r="L77" s="718" t="n"/>
      <c r="M77" s="718" t="n"/>
      <c r="N77" s="718" t="n"/>
      <c r="O77" s="671" t="n"/>
      <c r="P77" s="672" t="n"/>
      <c r="Q77" s="672" t="n"/>
      <c r="R77" s="673" t="n"/>
      <c r="S77" s="617" t="n"/>
      <c r="T77" s="659" t="n"/>
      <c r="Z77" s="659" t="n"/>
      <c r="AA77" s="659" t="n"/>
      <c r="AB77" s="659" t="n"/>
      <c r="AC77" s="617" t="n"/>
      <c r="AD77" s="617" t="n"/>
      <c r="AE77" s="617" t="n"/>
    </row>
    <row r="78" ht="18" customHeight="1" s="614">
      <c r="A78" s="667" t="n"/>
      <c r="B78" s="647" t="n"/>
      <c r="C78" s="714" t="inlineStr">
        <is>
          <t>SV・30</t>
        </is>
      </c>
      <c r="D78" s="626" t="n"/>
      <c r="E78" s="626" t="n"/>
      <c r="F78" s="627" t="n"/>
      <c r="G78" s="668" t="n"/>
      <c r="H78" s="647" t="n"/>
      <c r="I78" s="668" t="n"/>
      <c r="J78" s="719" t="n"/>
      <c r="K78" s="719" t="n"/>
      <c r="L78" s="719" t="n"/>
      <c r="M78" s="719" t="n"/>
      <c r="N78" s="719" t="n"/>
      <c r="O78" s="671" t="n"/>
      <c r="P78" s="672" t="n"/>
      <c r="Q78" s="672" t="n"/>
      <c r="R78" s="673" t="n"/>
      <c r="S78" s="617" t="n"/>
      <c r="T78" s="659" t="n"/>
      <c r="Z78" s="659" t="n"/>
      <c r="AA78" s="659" t="n"/>
      <c r="AB78" s="659" t="n"/>
      <c r="AC78" s="617" t="n"/>
      <c r="AD78" s="617" t="n"/>
      <c r="AE78" s="617" t="n"/>
    </row>
    <row r="79" ht="18" customHeight="1" s="614">
      <c r="A79" s="652" t="n"/>
      <c r="B79" s="654" t="n"/>
      <c r="C79" s="714" t="inlineStr">
        <is>
          <t>SV・24h</t>
        </is>
      </c>
      <c r="D79" s="626" t="n"/>
      <c r="E79" s="626" t="n"/>
      <c r="F79" s="627" t="n"/>
      <c r="G79" s="657" t="n"/>
      <c r="H79" s="654" t="n"/>
      <c r="I79" s="657" t="n"/>
      <c r="J79" s="720" t="n"/>
      <c r="K79" s="720" t="n"/>
      <c r="L79" s="720" t="n"/>
      <c r="M79" s="720" t="n"/>
      <c r="N79" s="751" t="n"/>
      <c r="O79" s="721" t="n"/>
      <c r="P79" s="701" t="n"/>
      <c r="Q79" s="701" t="n"/>
      <c r="R79" s="702" t="n"/>
      <c r="S79" s="617" t="n"/>
      <c r="T79" s="659" t="n"/>
      <c r="U79" s="659" t="n"/>
      <c r="V79" s="659" t="n"/>
      <c r="W79" s="659" t="n"/>
      <c r="X79" s="659" t="n"/>
      <c r="Y79" s="659" t="n"/>
      <c r="Z79" s="659" t="n"/>
      <c r="AA79" s="659" t="n"/>
      <c r="AB79" s="659" t="n"/>
      <c r="AC79" s="617" t="n"/>
      <c r="AD79" s="617" t="n"/>
      <c r="AE79" s="617" t="n"/>
    </row>
    <row r="80" ht="18" customHeight="1" s="614">
      <c r="A80" s="713" t="inlineStr">
        <is>
          <t>MLSS</t>
        </is>
      </c>
      <c r="B80" s="626" t="n"/>
      <c r="C80" s="626" t="n"/>
      <c r="D80" s="626" t="n"/>
      <c r="E80" s="626" t="n"/>
      <c r="F80" s="627" t="n"/>
      <c r="G80" s="655" t="inlineStr">
        <is>
          <t>㎎/ℓ</t>
        </is>
      </c>
      <c r="H80" s="627" t="n"/>
      <c r="I80" s="722" t="inlineStr">
        <is>
          <t>ディッチ</t>
        </is>
      </c>
      <c r="J80" s="723" t="n"/>
      <c r="K80" s="723" t="n"/>
      <c r="L80" s="723" t="n"/>
      <c r="M80" s="723" t="n"/>
      <c r="N80" s="723" t="n"/>
      <c r="O80" s="687" t="n"/>
      <c r="P80" s="688" t="n"/>
      <c r="Q80" s="688" t="n"/>
      <c r="R80" s="689" t="n"/>
      <c r="S80" s="617" t="n"/>
      <c r="T80" s="659" t="n"/>
      <c r="U80" s="659" t="n"/>
      <c r="V80" s="659" t="n"/>
      <c r="W80" s="659" t="n"/>
      <c r="X80" s="659" t="n"/>
      <c r="Y80" s="659" t="n"/>
      <c r="Z80" s="659" t="n"/>
      <c r="AA80" s="659" t="n"/>
      <c r="AB80" s="659" t="n"/>
      <c r="AC80" s="617" t="n"/>
      <c r="AD80" s="617" t="n"/>
      <c r="AE80" s="617" t="n"/>
    </row>
    <row r="81" ht="18" customHeight="1" s="614">
      <c r="A81" s="660" t="inlineStr">
        <is>
          <t>汚泥界面</t>
        </is>
      </c>
      <c r="B81" s="626" t="n"/>
      <c r="C81" s="626" t="n"/>
      <c r="D81" s="626" t="n"/>
      <c r="E81" s="626" t="n"/>
      <c r="F81" s="627" t="n"/>
      <c r="G81" s="655" t="inlineStr">
        <is>
          <t>ｃｍ</t>
        </is>
      </c>
      <c r="H81" s="627" t="n"/>
      <c r="I81" s="724" t="inlineStr">
        <is>
          <t>終沈</t>
        </is>
      </c>
      <c r="J81" s="725" t="n"/>
      <c r="K81" s="725" t="n"/>
      <c r="L81" s="725" t="n"/>
      <c r="M81" s="725" t="n"/>
      <c r="N81" s="725" t="n"/>
      <c r="O81" s="726" t="n"/>
      <c r="P81" s="688" t="n"/>
      <c r="Q81" s="688" t="n"/>
      <c r="R81" s="689" t="n"/>
      <c r="S81" s="617" t="n"/>
      <c r="T81" s="659" t="n"/>
      <c r="U81" s="659" t="n"/>
      <c r="V81" s="659" t="n"/>
      <c r="W81" s="659" t="n"/>
      <c r="X81" s="659" t="n"/>
      <c r="Y81" s="659" t="n"/>
      <c r="Z81" s="659" t="n"/>
      <c r="AA81" s="659" t="n"/>
      <c r="AB81" s="659" t="n"/>
      <c r="AC81" s="617" t="n"/>
      <c r="AD81" s="617" t="n"/>
      <c r="AE81" s="617" t="n"/>
    </row>
    <row r="82" ht="18" customHeight="1" s="614">
      <c r="A82" s="660" t="inlineStr">
        <is>
          <t>残留塩素</t>
        </is>
      </c>
      <c r="B82" s="626" t="n"/>
      <c r="C82" s="626" t="n"/>
      <c r="D82" s="626" t="n"/>
      <c r="E82" s="626" t="n"/>
      <c r="F82" s="627" t="n"/>
      <c r="G82" s="655" t="inlineStr">
        <is>
          <t>㎎/ℓ</t>
        </is>
      </c>
      <c r="H82" s="627" t="n"/>
      <c r="I82" s="722" t="inlineStr">
        <is>
          <t>放流水</t>
        </is>
      </c>
      <c r="J82" s="727" t="n"/>
      <c r="K82" s="727" t="n"/>
      <c r="L82" s="727" t="n"/>
      <c r="M82" s="727" t="n"/>
      <c r="N82" s="727" t="n"/>
      <c r="O82" s="687" t="n"/>
      <c r="P82" s="688" t="n"/>
      <c r="Q82" s="688" t="n"/>
      <c r="R82" s="689" t="n"/>
      <c r="S82" s="617" t="n"/>
      <c r="T82" s="659" t="n"/>
      <c r="U82" s="659" t="n"/>
      <c r="V82" s="659" t="n"/>
      <c r="W82" s="659" t="n"/>
      <c r="X82" s="659" t="n"/>
      <c r="Y82" s="659" t="n"/>
      <c r="Z82" s="659" t="n"/>
      <c r="AA82" s="659" t="n"/>
      <c r="AB82" s="659" t="n"/>
      <c r="AC82" s="617" t="n"/>
      <c r="AD82" s="617" t="n"/>
      <c r="AE82" s="617" t="n"/>
    </row>
    <row r="83" ht="18" customHeight="1" s="614">
      <c r="A83" s="625" t="inlineStr">
        <is>
          <t>塩素投入量</t>
        </is>
      </c>
      <c r="B83" s="626" t="n"/>
      <c r="C83" s="626" t="n"/>
      <c r="D83" s="626" t="n"/>
      <c r="E83" s="626" t="n"/>
      <c r="F83" s="627" t="n"/>
      <c r="G83" s="728" t="inlineStr">
        <is>
          <t>kg</t>
        </is>
      </c>
      <c r="H83" s="640" t="n"/>
      <c r="I83" s="729" t="inlineStr">
        <is>
          <t>塩素混和池</t>
        </is>
      </c>
      <c r="J83" s="730" t="n"/>
      <c r="K83" s="730" t="n"/>
      <c r="L83" s="730" t="n"/>
      <c r="M83" s="730" t="n"/>
      <c r="N83" s="730" t="n"/>
      <c r="O83" s="752" t="n"/>
      <c r="P83" s="626" t="n"/>
      <c r="Q83" s="626" t="n"/>
      <c r="R83" s="631" t="n"/>
      <c r="S83" s="617" t="n"/>
      <c r="T83" s="659" t="n"/>
      <c r="U83" s="659" t="n"/>
      <c r="V83" s="659" t="n"/>
      <c r="W83" s="659" t="n"/>
      <c r="X83" s="659" t="n"/>
      <c r="Y83" s="659" t="n"/>
      <c r="Z83" s="659" t="n"/>
      <c r="AA83" s="659" t="n"/>
      <c r="AB83" s="659" t="n"/>
      <c r="AC83" s="617" t="n"/>
      <c r="AD83" s="617" t="n"/>
      <c r="AE83" s="617" t="n"/>
    </row>
    <row r="84" ht="18" customHeight="1" s="614">
      <c r="A84" s="732" t="inlineStr">
        <is>
          <t xml:space="preserve">　備　　考</t>
        </is>
      </c>
      <c r="G84" s="733" t="n"/>
      <c r="H84" s="639" t="n"/>
      <c r="I84" s="734" t="n"/>
      <c r="J84" s="735" t="n"/>
      <c r="K84" s="735" t="n"/>
      <c r="L84" s="735" t="n"/>
      <c r="M84" s="735" t="n"/>
      <c r="N84" s="753" t="n"/>
      <c r="O84" s="737" t="n"/>
      <c r="P84" s="639" t="n"/>
      <c r="Q84" s="639" t="n"/>
      <c r="R84" s="665" t="n"/>
      <c r="S84" s="617" t="n"/>
      <c r="T84" s="659" t="n"/>
      <c r="U84" s="659" t="n"/>
      <c r="V84" s="659" t="n"/>
      <c r="W84" s="659" t="n"/>
      <c r="X84" s="659" t="n"/>
      <c r="Y84" s="659" t="n"/>
      <c r="Z84" s="659" t="n"/>
      <c r="AA84" s="659" t="n"/>
      <c r="AB84" s="659" t="n"/>
      <c r="AC84" s="617" t="n"/>
      <c r="AD84" s="617" t="n"/>
      <c r="AE84" s="617" t="n"/>
    </row>
    <row r="85" ht="18" customHeight="1" s="614">
      <c r="A85" s="738" t="n"/>
      <c r="R85" s="651" t="n"/>
      <c r="S85" s="617" t="n"/>
      <c r="T85" s="659" t="n"/>
      <c r="U85" s="659" t="n"/>
      <c r="V85" s="659" t="n"/>
      <c r="W85" s="659" t="n"/>
      <c r="X85" s="659" t="n"/>
      <c r="Y85" s="659" t="n"/>
      <c r="Z85" s="659" t="n"/>
      <c r="AA85" s="659" t="n"/>
      <c r="AB85" s="659" t="n"/>
      <c r="AC85" s="617" t="n"/>
      <c r="AD85" s="617" t="n"/>
      <c r="AE85" s="617" t="n"/>
    </row>
    <row r="86" ht="18" customHeight="1" s="614">
      <c r="A86" s="667" t="n"/>
      <c r="R86" s="651" t="n"/>
      <c r="S86" s="617" t="n"/>
      <c r="T86" s="659" t="n"/>
      <c r="U86" s="659" t="n"/>
      <c r="V86" s="659" t="n"/>
      <c r="W86" s="659" t="n"/>
      <c r="X86" s="659" t="n"/>
      <c r="Y86" s="659" t="n"/>
      <c r="Z86" s="659" t="n"/>
      <c r="AA86" s="659" t="n"/>
      <c r="AB86" s="659" t="n"/>
      <c r="AC86" s="617" t="n"/>
      <c r="AD86" s="617" t="n"/>
      <c r="AE86" s="617" t="n"/>
    </row>
    <row r="87" ht="18" customHeight="1" s="614">
      <c r="A87" s="667" t="n"/>
      <c r="R87" s="651" t="n"/>
      <c r="S87" s="617" t="n"/>
      <c r="T87" s="659" t="n"/>
      <c r="U87" s="659" t="n"/>
      <c r="V87" s="659" t="n"/>
      <c r="W87" s="659" t="n"/>
      <c r="X87" s="659" t="n"/>
      <c r="Y87" s="659" t="n"/>
      <c r="Z87" s="659" t="n"/>
      <c r="AA87" s="659" t="n"/>
      <c r="AB87" s="659" t="n"/>
      <c r="AC87" s="617" t="n"/>
      <c r="AD87" s="617" t="n"/>
      <c r="AE87" s="617" t="n"/>
    </row>
    <row r="88" ht="18" customHeight="1" s="614">
      <c r="A88" s="667" t="n"/>
      <c r="R88" s="651" t="n"/>
      <c r="S88" s="617" t="n"/>
      <c r="T88" s="659" t="n"/>
      <c r="U88" s="659" t="n"/>
      <c r="V88" s="659" t="n"/>
      <c r="W88" s="659" t="n"/>
      <c r="X88" s="659" t="n"/>
      <c r="Y88" s="659" t="n"/>
      <c r="Z88" s="659" t="n"/>
      <c r="AA88" s="659" t="n"/>
      <c r="AB88" s="659" t="n"/>
      <c r="AC88" s="617" t="n"/>
      <c r="AD88" s="617" t="n"/>
      <c r="AE88" s="617" t="n"/>
    </row>
    <row r="89" ht="18" customHeight="1" s="614">
      <c r="A89" s="667" t="n"/>
      <c r="R89" s="651" t="n"/>
      <c r="S89" s="617" t="n"/>
      <c r="T89" s="659" t="n"/>
      <c r="U89" s="659" t="n"/>
      <c r="V89" s="659" t="n"/>
      <c r="W89" s="659" t="n"/>
      <c r="X89" s="659" t="n"/>
      <c r="Y89" s="659" t="n"/>
      <c r="Z89" s="659" t="n"/>
      <c r="AA89" s="659" t="n"/>
      <c r="AB89" s="659" t="n"/>
      <c r="AC89" s="617" t="n"/>
      <c r="AD89" s="617" t="n"/>
      <c r="AE89" s="617" t="n"/>
    </row>
    <row r="90" ht="18" customHeight="1" s="614">
      <c r="A90" s="667" t="n"/>
      <c r="R90" s="651" t="n"/>
      <c r="S90" s="617" t="n"/>
      <c r="T90" s="659" t="n"/>
      <c r="U90" s="659" t="n"/>
      <c r="V90" s="659" t="n"/>
      <c r="W90" s="659" t="n"/>
      <c r="X90" s="659" t="n"/>
      <c r="Y90" s="659" t="n"/>
      <c r="Z90" s="659" t="n"/>
      <c r="AA90" s="659" t="n"/>
      <c r="AB90" s="659" t="n"/>
      <c r="AC90" s="617" t="n"/>
      <c r="AD90" s="617" t="n"/>
      <c r="AE90" s="617" t="n"/>
    </row>
    <row r="91" ht="18" customHeight="1" s="614">
      <c r="A91" s="667" t="n"/>
      <c r="R91" s="651" t="n"/>
      <c r="S91" s="617" t="n"/>
      <c r="T91" s="659" t="n"/>
      <c r="U91" s="659" t="n"/>
      <c r="V91" s="659" t="n"/>
      <c r="W91" s="659" t="n"/>
      <c r="X91" s="659" t="n"/>
      <c r="Y91" s="659" t="n"/>
      <c r="Z91" s="659" t="n"/>
      <c r="AA91" s="659" t="n"/>
      <c r="AB91" s="659" t="n"/>
      <c r="AC91" s="617" t="n"/>
      <c r="AD91" s="617" t="n"/>
      <c r="AE91" s="617" t="n"/>
    </row>
    <row r="92" ht="18" customHeight="1" s="614">
      <c r="A92" s="739" t="n"/>
      <c r="B92" s="618" t="n"/>
      <c r="C92" s="618" t="n"/>
      <c r="D92" s="618" t="n"/>
      <c r="E92" s="618" t="n"/>
      <c r="F92" s="618" t="n"/>
      <c r="G92" s="618" t="n"/>
      <c r="H92" s="618" t="n"/>
      <c r="I92" s="618" t="n"/>
      <c r="J92" s="618" t="n"/>
      <c r="K92" s="618" t="n"/>
      <c r="L92" s="618" t="n"/>
      <c r="M92" s="618" t="n"/>
      <c r="N92" s="618" t="n"/>
      <c r="O92" s="618" t="n"/>
      <c r="P92" s="618" t="n"/>
      <c r="Q92" s="618" t="n"/>
      <c r="R92" s="740" t="n"/>
      <c r="S92" s="617" t="n"/>
      <c r="T92" s="659" t="n"/>
      <c r="U92" s="659" t="n"/>
      <c r="V92" s="659" t="n"/>
      <c r="W92" s="659" t="n"/>
      <c r="X92" s="659" t="n"/>
      <c r="Y92" s="659" t="n"/>
      <c r="Z92" s="659" t="n"/>
      <c r="AA92" s="659" t="n"/>
      <c r="AB92" s="659" t="n"/>
      <c r="AC92" s="617" t="n"/>
      <c r="AD92" s="617" t="n"/>
      <c r="AE92" s="617" t="n"/>
    </row>
    <row r="93" ht="29.25" customHeight="1" s="614">
      <c r="A93" s="615" t="inlineStr">
        <is>
          <t>加計浄化センター維持管理週報</t>
        </is>
      </c>
      <c r="M93" s="617" t="n"/>
      <c r="N93" s="617" t="n"/>
      <c r="O93" s="617" t="n"/>
      <c r="P93" s="617" t="n"/>
      <c r="Q93" s="617" t="n"/>
      <c r="R93" s="617" t="n"/>
      <c r="S93" s="617" t="n"/>
      <c r="T93" s="659" t="n"/>
      <c r="U93" s="659" t="n"/>
      <c r="V93" s="659" t="n"/>
      <c r="W93" s="659" t="n"/>
      <c r="X93" s="659" t="n"/>
      <c r="Y93" s="659" t="n"/>
      <c r="Z93" s="659" t="n"/>
      <c r="AA93" s="659" t="n"/>
      <c r="AB93" s="659" t="n"/>
      <c r="AC93" s="617" t="n"/>
      <c r="AD93" s="617" t="n"/>
      <c r="AE93" s="617" t="n"/>
    </row>
    <row r="94" ht="15" customHeight="1" s="614">
      <c r="A94" s="618" t="n"/>
      <c r="B94" s="618" t="n"/>
      <c r="C94" s="618" t="n"/>
      <c r="D94" s="618" t="n"/>
      <c r="E94" s="618" t="n"/>
      <c r="F94" s="618" t="n"/>
      <c r="G94" s="618" t="n"/>
      <c r="H94" s="618" t="n"/>
      <c r="I94" s="618" t="n"/>
      <c r="J94" s="618" t="n"/>
      <c r="K94" s="618" t="n"/>
      <c r="L94" s="618" t="n"/>
      <c r="M94" s="617" t="n"/>
      <c r="N94" s="617" t="n"/>
      <c r="O94" s="617" t="n"/>
      <c r="P94" s="617" t="n"/>
      <c r="Q94" s="617" t="n"/>
      <c r="R94" s="617" t="n"/>
      <c r="S94" s="617" t="n"/>
      <c r="T94" s="659" t="n"/>
      <c r="U94" s="659" t="n"/>
      <c r="V94" s="659" t="n"/>
      <c r="W94" s="659" t="n"/>
      <c r="X94" s="659" t="n"/>
      <c r="Y94" s="659" t="n"/>
      <c r="Z94" s="659" t="n"/>
      <c r="AA94" s="659" t="n"/>
      <c r="AB94" s="659" t="n"/>
      <c r="AC94" s="617" t="n"/>
      <c r="AD94" s="617" t="n"/>
      <c r="AE94" s="617" t="n"/>
    </row>
    <row r="95" ht="18" customHeight="1" s="614">
      <c r="A95" s="619" t="n"/>
      <c r="B95" s="620" t="n"/>
      <c r="C95" s="620" t="n"/>
      <c r="D95" s="620" t="n"/>
      <c r="E95" s="620" t="n"/>
      <c r="F95" s="620" t="n"/>
      <c r="G95" s="620" t="n"/>
      <c r="H95" s="621" t="n"/>
      <c r="I95" s="622" t="n"/>
      <c r="J95" s="622" t="n"/>
      <c r="K95" s="622" t="n"/>
      <c r="L95" s="622" t="n"/>
      <c r="M95" s="622" t="n"/>
      <c r="N95" s="622" t="n"/>
      <c r="O95" s="623" t="inlineStr">
        <is>
          <t>平均</t>
        </is>
      </c>
      <c r="P95" s="620" t="n"/>
      <c r="Q95" s="620" t="n"/>
      <c r="R95" s="624" t="n"/>
      <c r="S95" s="617" t="n"/>
      <c r="T95" s="659" t="n"/>
      <c r="U95" s="659" t="n"/>
      <c r="V95" s="659" t="n"/>
      <c r="W95" s="659" t="n"/>
      <c r="X95" s="659" t="n"/>
      <c r="Y95" s="659" t="n"/>
      <c r="Z95" s="659" t="n"/>
      <c r="AA95" s="659" t="n"/>
      <c r="AB95" s="659" t="n"/>
      <c r="AC95" s="617" t="n"/>
      <c r="AD95" s="617" t="n"/>
      <c r="AE95" s="617" t="n"/>
    </row>
    <row r="96" ht="18" customHeight="1" s="614">
      <c r="A96" s="625" t="inlineStr">
        <is>
          <t>全日電力量</t>
        </is>
      </c>
      <c r="B96" s="626" t="n"/>
      <c r="C96" s="626" t="n"/>
      <c r="D96" s="626" t="n"/>
      <c r="E96" s="626" t="n"/>
      <c r="F96" s="627" t="n"/>
      <c r="G96" s="628" t="inlineStr">
        <is>
          <t>Kｗｈ</t>
        </is>
      </c>
      <c r="H96" s="627" t="n"/>
      <c r="I96" s="634" t="n"/>
      <c r="J96" s="634" t="n"/>
      <c r="K96" s="629" t="n"/>
      <c r="L96" s="629" t="n"/>
      <c r="M96" s="629" t="n"/>
      <c r="N96" s="629" t="n"/>
      <c r="O96" s="742" t="n"/>
      <c r="P96" s="626" t="n"/>
      <c r="Q96" s="626" t="n"/>
      <c r="R96" s="631" t="n"/>
      <c r="S96" s="617" t="n"/>
      <c r="T96" s="659" t="n"/>
      <c r="U96" s="659" t="n"/>
      <c r="V96" s="659" t="n"/>
      <c r="W96" s="659" t="n"/>
      <c r="X96" s="659" t="n"/>
      <c r="Y96" s="659" t="n"/>
      <c r="Z96" s="659" t="n"/>
      <c r="AA96" s="659" t="n"/>
      <c r="AB96" s="659" t="n"/>
      <c r="AC96" s="617" t="n"/>
      <c r="AD96" s="617" t="n"/>
      <c r="AE96" s="617" t="n"/>
    </row>
    <row r="97" ht="18" customHeight="1" s="614">
      <c r="A97" s="625" t="inlineStr">
        <is>
          <t>力測電力量</t>
        </is>
      </c>
      <c r="B97" s="626" t="n"/>
      <c r="C97" s="626" t="n"/>
      <c r="D97" s="626" t="n"/>
      <c r="E97" s="626" t="n"/>
      <c r="F97" s="627" t="n"/>
      <c r="G97" s="628" t="inlineStr">
        <is>
          <t>Kｗｈ</t>
        </is>
      </c>
      <c r="H97" s="627" t="n"/>
      <c r="I97" s="744" t="n"/>
      <c r="J97" s="754" t="n"/>
      <c r="K97" s="629" t="n"/>
      <c r="L97" s="629" t="n"/>
      <c r="M97" s="629" t="n"/>
      <c r="N97" s="629" t="n"/>
      <c r="O97" s="742" t="n"/>
      <c r="P97" s="626" t="n"/>
      <c r="Q97" s="626" t="n"/>
      <c r="R97" s="631" t="n"/>
      <c r="S97" s="617" t="n"/>
      <c r="T97" s="659" t="n"/>
      <c r="U97" s="659" t="n"/>
      <c r="V97" s="659" t="n"/>
      <c r="W97" s="659" t="n"/>
      <c r="X97" s="659" t="n"/>
      <c r="Y97" s="659" t="n"/>
      <c r="Z97" s="659" t="n"/>
      <c r="AA97" s="659" t="n"/>
      <c r="AB97" s="659" t="n"/>
      <c r="AC97" s="617" t="n"/>
      <c r="AD97" s="617" t="n"/>
      <c r="AE97" s="617" t="n"/>
    </row>
    <row r="98" ht="18" customHeight="1" s="614">
      <c r="A98" s="625" t="inlineStr">
        <is>
          <t>無効電力量</t>
        </is>
      </c>
      <c r="B98" s="626" t="n"/>
      <c r="C98" s="626" t="n"/>
      <c r="D98" s="626" t="n"/>
      <c r="E98" s="626" t="n"/>
      <c r="F98" s="627" t="n"/>
      <c r="G98" s="628" t="inlineStr">
        <is>
          <t>Kvar</t>
        </is>
      </c>
      <c r="H98" s="627" t="n"/>
      <c r="I98" s="629" t="n"/>
      <c r="J98" s="634" t="n"/>
      <c r="K98" s="629" t="n"/>
      <c r="L98" s="629" t="n"/>
      <c r="M98" s="629" t="n"/>
      <c r="N98" s="629" t="n"/>
      <c r="O98" s="755" t="n"/>
      <c r="P98" s="626" t="n"/>
      <c r="Q98" s="626" t="n"/>
      <c r="R98" s="631" t="n"/>
      <c r="S98" s="617" t="n"/>
      <c r="T98" s="659" t="n"/>
      <c r="U98" s="659" t="n"/>
      <c r="V98" s="659" t="n"/>
      <c r="W98" s="659" t="n"/>
      <c r="X98" s="659" t="n"/>
      <c r="Y98" s="659" t="n"/>
      <c r="Z98" s="659" t="n"/>
      <c r="AA98" s="659" t="n"/>
      <c r="AB98" s="659" t="n"/>
      <c r="AC98" s="617" t="n"/>
      <c r="AD98" s="617" t="n"/>
      <c r="AE98" s="617" t="n"/>
    </row>
    <row r="99" ht="18" customHeight="1" s="614">
      <c r="A99" s="625" t="inlineStr">
        <is>
          <t>デマンド</t>
        </is>
      </c>
      <c r="B99" s="626" t="n"/>
      <c r="C99" s="626" t="n"/>
      <c r="D99" s="626" t="n"/>
      <c r="E99" s="626" t="n"/>
      <c r="F99" s="627" t="n"/>
      <c r="G99" s="628" t="inlineStr">
        <is>
          <t>Kw</t>
        </is>
      </c>
      <c r="H99" s="627" t="n"/>
      <c r="I99" s="629" t="n"/>
      <c r="J99" s="629" t="n"/>
      <c r="K99" s="629" t="n"/>
      <c r="L99" s="629" t="n"/>
      <c r="M99" s="629" t="n"/>
      <c r="N99" s="629" t="n"/>
      <c r="O99" s="742" t="n"/>
      <c r="P99" s="626" t="n"/>
      <c r="Q99" s="626" t="n"/>
      <c r="R99" s="631" t="n"/>
      <c r="S99" s="617" t="n"/>
      <c r="T99" s="659" t="n"/>
      <c r="U99" s="659" t="n"/>
      <c r="V99" s="659" t="n"/>
      <c r="W99" s="659" t="n"/>
      <c r="X99" s="659" t="n"/>
      <c r="Y99" s="659" t="n"/>
      <c r="Z99" s="659" t="n"/>
      <c r="AA99" s="659" t="n"/>
      <c r="AB99" s="659" t="n"/>
      <c r="AC99" s="617" t="n"/>
      <c r="AD99" s="617" t="n"/>
      <c r="AE99" s="617" t="n"/>
    </row>
    <row r="100" ht="18" customHeight="1" s="614">
      <c r="A100" s="625" t="inlineStr">
        <is>
          <t>水道使用量</t>
        </is>
      </c>
      <c r="B100" s="626" t="n"/>
      <c r="C100" s="626" t="n"/>
      <c r="D100" s="626" t="n"/>
      <c r="E100" s="626" t="n"/>
      <c r="F100" s="627" t="n"/>
      <c r="G100" s="635" t="inlineStr">
        <is>
          <t>㎥</t>
        </is>
      </c>
      <c r="H100" s="627" t="n"/>
      <c r="I100" s="634" t="n"/>
      <c r="J100" s="634" t="n"/>
      <c r="K100" s="629" t="n"/>
      <c r="L100" s="629" t="n"/>
      <c r="M100" s="629" t="n"/>
      <c r="N100" s="629" t="n"/>
      <c r="O100" s="742" t="n"/>
      <c r="P100" s="626" t="n"/>
      <c r="Q100" s="626" t="n"/>
      <c r="R100" s="631" t="n"/>
      <c r="S100" s="617" t="n"/>
      <c r="T100" s="659" t="n"/>
      <c r="U100" s="659" t="n"/>
      <c r="V100" s="659" t="n"/>
      <c r="W100" s="659" t="n"/>
      <c r="X100" s="659" t="n"/>
      <c r="Y100" s="659" t="n"/>
      <c r="Z100" s="659" t="n"/>
      <c r="AA100" s="659" t="n"/>
      <c r="AB100" s="659" t="n"/>
      <c r="AC100" s="617" t="n"/>
      <c r="AD100" s="617" t="n"/>
      <c r="AE100" s="617" t="n"/>
    </row>
    <row r="101" ht="18" customHeight="1" s="614">
      <c r="A101" s="625" t="inlineStr">
        <is>
          <t>軽油(残量)</t>
        </is>
      </c>
      <c r="B101" s="626" t="n"/>
      <c r="C101" s="626" t="n"/>
      <c r="D101" s="626" t="n"/>
      <c r="E101" s="626" t="n"/>
      <c r="F101" s="627" t="n"/>
      <c r="G101" s="628" t="inlineStr">
        <is>
          <t>ℓ</t>
        </is>
      </c>
      <c r="H101" s="627" t="n"/>
      <c r="I101" s="636" t="n"/>
      <c r="J101" s="745" t="n"/>
      <c r="K101" s="636" t="n"/>
      <c r="L101" s="636" t="n"/>
      <c r="M101" s="636" t="n"/>
      <c r="N101" s="636" t="n"/>
      <c r="O101" s="742" t="n"/>
      <c r="P101" s="626" t="n"/>
      <c r="Q101" s="626" t="n"/>
      <c r="R101" s="631" t="n"/>
      <c r="S101" s="617" t="n"/>
      <c r="T101" s="659" t="n"/>
      <c r="U101" s="659" t="n"/>
      <c r="V101" s="659" t="n"/>
      <c r="W101" s="659" t="n"/>
      <c r="X101" s="659" t="n"/>
      <c r="Y101" s="659" t="n"/>
      <c r="Z101" s="659" t="n"/>
      <c r="AA101" s="659" t="n"/>
      <c r="AB101" s="659" t="n"/>
      <c r="AC101" s="617" t="n"/>
      <c r="AD101" s="617" t="n"/>
      <c r="AE101" s="617" t="n"/>
    </row>
    <row r="102" ht="18" customHeight="1" s="614">
      <c r="A102" s="625" t="inlineStr">
        <is>
          <t>返送汚泥流量</t>
        </is>
      </c>
      <c r="B102" s="626" t="n"/>
      <c r="C102" s="626" t="n"/>
      <c r="D102" s="626" t="n"/>
      <c r="E102" s="626" t="n"/>
      <c r="F102" s="627" t="n"/>
      <c r="G102" s="635" t="inlineStr">
        <is>
          <t>㎥</t>
        </is>
      </c>
      <c r="H102" s="627" t="n"/>
      <c r="I102" s="745" t="n"/>
      <c r="J102" s="745" t="n"/>
      <c r="K102" s="636" t="n"/>
      <c r="L102" s="636" t="n"/>
      <c r="M102" s="636" t="n"/>
      <c r="N102" s="636" t="n"/>
      <c r="O102" s="742" t="n"/>
      <c r="P102" s="626" t="n"/>
      <c r="Q102" s="626" t="n"/>
      <c r="R102" s="631" t="n"/>
      <c r="S102" s="617" t="n"/>
      <c r="T102" s="659" t="n"/>
      <c r="U102" s="659" t="n"/>
      <c r="V102" s="659" t="n"/>
      <c r="W102" s="659" t="n"/>
      <c r="X102" s="659" t="n"/>
      <c r="Y102" s="659" t="n"/>
      <c r="Z102" s="659" t="n"/>
      <c r="AA102" s="659" t="n"/>
      <c r="AB102" s="659" t="n"/>
      <c r="AC102" s="617" t="n"/>
      <c r="AD102" s="617" t="n"/>
      <c r="AE102" s="617" t="n"/>
    </row>
    <row r="103" ht="18" customHeight="1" s="614">
      <c r="A103" s="625" t="inlineStr">
        <is>
          <t>余剰汚泥流量</t>
        </is>
      </c>
      <c r="B103" s="626" t="n"/>
      <c r="C103" s="626" t="n"/>
      <c r="D103" s="626" t="n"/>
      <c r="E103" s="626" t="n"/>
      <c r="F103" s="627" t="n"/>
      <c r="G103" s="635" t="inlineStr">
        <is>
          <t>㎥</t>
        </is>
      </c>
      <c r="H103" s="627" t="n"/>
      <c r="I103" s="637" t="n"/>
      <c r="J103" s="756" t="n"/>
      <c r="K103" s="756" t="n"/>
      <c r="L103" s="756" t="n"/>
      <c r="M103" s="756" t="n"/>
      <c r="N103" s="637" t="n"/>
      <c r="O103" s="742" t="n"/>
      <c r="P103" s="626" t="n"/>
      <c r="Q103" s="626" t="n"/>
      <c r="R103" s="631" t="n"/>
      <c r="S103" s="617" t="n"/>
      <c r="T103" s="659" t="n"/>
      <c r="U103" s="659" t="n"/>
      <c r="V103" s="659" t="n"/>
      <c r="W103" s="659" t="n"/>
      <c r="X103" s="757" t="n"/>
      <c r="AC103" s="758" t="n"/>
      <c r="AD103" s="758" t="n"/>
      <c r="AE103" s="758" t="n"/>
    </row>
    <row r="104" ht="18" customHeight="1" s="614">
      <c r="A104" s="638" t="inlineStr">
        <is>
          <t>放流流量</t>
        </is>
      </c>
      <c r="B104" s="639" t="n"/>
      <c r="C104" s="639" t="n"/>
      <c r="D104" s="639" t="n"/>
      <c r="E104" s="639" t="n"/>
      <c r="F104" s="640" t="n"/>
      <c r="G104" s="641" t="inlineStr">
        <is>
          <t>㎥</t>
        </is>
      </c>
      <c r="H104" s="640" t="n"/>
      <c r="I104" s="746" t="n"/>
      <c r="J104" s="746" t="n"/>
      <c r="K104" s="642" t="n"/>
      <c r="L104" s="642" t="n"/>
      <c r="M104" s="642" t="n"/>
      <c r="N104" s="642" t="n"/>
      <c r="O104" s="742" t="n"/>
      <c r="P104" s="626" t="n"/>
      <c r="Q104" s="626" t="n"/>
      <c r="R104" s="631" t="n"/>
      <c r="S104" s="758" t="n"/>
      <c r="AC104" s="758" t="n"/>
      <c r="AD104" s="758" t="n"/>
      <c r="AE104" s="758" t="n"/>
    </row>
    <row r="105" ht="45" customHeight="1" s="614">
      <c r="A105" s="643" t="inlineStr">
        <is>
          <t>日 常 水 質 測 定 結 果</t>
        </is>
      </c>
      <c r="B105" s="644" t="n"/>
      <c r="C105" s="644" t="n"/>
      <c r="D105" s="644" t="n"/>
      <c r="E105" s="644" t="n"/>
      <c r="F105" s="644" t="n"/>
      <c r="G105" s="644" t="n"/>
      <c r="H105" s="644" t="n"/>
      <c r="I105" s="644" t="n"/>
      <c r="J105" s="644" t="n"/>
      <c r="K105" s="644" t="n"/>
      <c r="L105" s="644" t="n"/>
      <c r="M105" s="644" t="n"/>
      <c r="N105" s="644" t="n"/>
      <c r="O105" s="644" t="n"/>
      <c r="P105" s="644" t="n"/>
      <c r="Q105" s="644" t="n"/>
      <c r="R105" s="645" t="n"/>
      <c r="S105" s="758" t="n"/>
      <c r="AC105" s="758" t="n"/>
      <c r="AD105" s="758" t="n"/>
      <c r="AE105" s="758" t="n"/>
    </row>
    <row r="106" ht="18" customHeight="1" s="614">
      <c r="A106" s="646" t="inlineStr">
        <is>
          <t>測 定 項 目</t>
        </is>
      </c>
      <c r="H106" s="647" t="n"/>
      <c r="I106" s="648" t="inlineStr">
        <is>
          <t>測定日</t>
        </is>
      </c>
      <c r="J106" s="649" t="n"/>
      <c r="K106" s="649" t="n"/>
      <c r="L106" s="649" t="n"/>
      <c r="M106" s="649" t="n"/>
      <c r="N106" s="649" t="n"/>
      <c r="O106" s="650">
        <f>O95</f>
        <v/>
      </c>
      <c r="R106" s="651" t="n"/>
      <c r="S106" s="758" t="n"/>
      <c r="AC106" s="758" t="n"/>
      <c r="AD106" s="758" t="n"/>
      <c r="AE106" s="758" t="n"/>
    </row>
    <row r="107" ht="18" customHeight="1" s="614">
      <c r="A107" s="652" t="n"/>
      <c r="B107" s="653" t="n"/>
      <c r="C107" s="653" t="n"/>
      <c r="D107" s="653" t="n"/>
      <c r="E107" s="653" t="n"/>
      <c r="F107" s="653" t="n"/>
      <c r="G107" s="653" t="n"/>
      <c r="H107" s="654" t="n"/>
      <c r="I107" s="655" t="inlineStr">
        <is>
          <t>測定者</t>
        </is>
      </c>
      <c r="J107" s="656" t="n"/>
      <c r="K107" s="656" t="n"/>
      <c r="L107" s="656" t="n"/>
      <c r="M107" s="656" t="n"/>
      <c r="N107" s="656" t="n"/>
      <c r="O107" s="657" t="n"/>
      <c r="P107" s="653" t="n"/>
      <c r="Q107" s="653" t="n"/>
      <c r="R107" s="658" t="n"/>
      <c r="S107" s="758" t="n"/>
      <c r="AC107" s="758" t="n"/>
      <c r="AD107" s="758" t="n"/>
      <c r="AE107" s="758" t="n"/>
    </row>
    <row r="108" ht="18" customHeight="1" s="614">
      <c r="A108" s="660" t="inlineStr">
        <is>
          <t xml:space="preserve">水温　　　　　</t>
        </is>
      </c>
      <c r="B108" s="639" t="n"/>
      <c r="C108" s="639" t="n"/>
      <c r="D108" s="639" t="n"/>
      <c r="E108" s="639" t="n"/>
      <c r="F108" s="640" t="n"/>
      <c r="G108" s="661" t="inlineStr">
        <is>
          <t>℃</t>
        </is>
      </c>
      <c r="H108" s="640" t="n"/>
      <c r="I108" s="662" t="inlineStr">
        <is>
          <t>流入</t>
        </is>
      </c>
      <c r="J108" s="686" t="n"/>
      <c r="K108" s="686" t="n"/>
      <c r="L108" s="686" t="n"/>
      <c r="M108" s="686" t="n"/>
      <c r="N108" s="686" t="n"/>
      <c r="O108" s="664" t="n"/>
      <c r="P108" s="639" t="n"/>
      <c r="Q108" s="639" t="n"/>
      <c r="R108" s="665" t="n"/>
      <c r="S108" s="666" t="n"/>
      <c r="AC108" s="758" t="n"/>
      <c r="AD108" s="758" t="n"/>
      <c r="AE108" s="758" t="n"/>
    </row>
    <row r="109" ht="18" customHeight="1" s="614">
      <c r="A109" s="667" t="n"/>
      <c r="F109" s="647" t="n"/>
      <c r="G109" s="668" t="n"/>
      <c r="H109" s="647" t="n"/>
      <c r="I109" s="669" t="inlineStr">
        <is>
          <t>ディッチ</t>
        </is>
      </c>
      <c r="J109" s="670" t="n"/>
      <c r="K109" s="670" t="n"/>
      <c r="L109" s="670" t="n"/>
      <c r="M109" s="670" t="n"/>
      <c r="N109" s="670" t="n"/>
      <c r="O109" s="671" t="n"/>
      <c r="P109" s="672" t="n"/>
      <c r="Q109" s="672" t="n"/>
      <c r="R109" s="673" t="n"/>
      <c r="S109" s="674" t="n"/>
      <c r="T109" s="675" t="n"/>
      <c r="AC109" s="758" t="n"/>
      <c r="AD109" s="758" t="n"/>
      <c r="AE109" s="758" t="n"/>
    </row>
    <row r="110" ht="18" customHeight="1" s="614">
      <c r="A110" s="652" t="n"/>
      <c r="B110" s="653" t="n"/>
      <c r="C110" s="653" t="n"/>
      <c r="D110" s="653" t="n"/>
      <c r="E110" s="653" t="n"/>
      <c r="F110" s="654" t="n"/>
      <c r="G110" s="657" t="n"/>
      <c r="H110" s="654" t="n"/>
      <c r="I110" s="676" t="inlineStr">
        <is>
          <t>放流</t>
        </is>
      </c>
      <c r="J110" s="759" t="n"/>
      <c r="K110" s="759" t="n"/>
      <c r="L110" s="759" t="n"/>
      <c r="M110" s="759" t="n"/>
      <c r="N110" s="759" t="n"/>
      <c r="O110" s="678" t="n"/>
      <c r="P110" s="653" t="n"/>
      <c r="Q110" s="653" t="n"/>
      <c r="R110" s="658" t="n"/>
      <c r="S110" s="674" t="n"/>
      <c r="AC110" s="758" t="n"/>
      <c r="AD110" s="758" t="n"/>
      <c r="AE110" s="758" t="n"/>
    </row>
    <row r="111" ht="18" customHeight="1" s="614">
      <c r="A111" s="660" t="inlineStr">
        <is>
          <t>外観</t>
        </is>
      </c>
      <c r="B111" s="640" t="n"/>
      <c r="C111" s="679" t="inlineStr">
        <is>
          <t>油膜・色合</t>
        </is>
      </c>
      <c r="D111" s="639" t="n"/>
      <c r="E111" s="639" t="n"/>
      <c r="F111" s="639" t="n"/>
      <c r="G111" s="639" t="n"/>
      <c r="H111" s="640" t="n"/>
      <c r="I111" s="662" t="inlineStr">
        <is>
          <t>流入</t>
        </is>
      </c>
      <c r="J111" s="680" t="n"/>
      <c r="K111" s="680" t="n"/>
      <c r="L111" s="680" t="n"/>
      <c r="M111" s="680" t="n"/>
      <c r="N111" s="680" t="n"/>
      <c r="O111" s="681" t="n"/>
      <c r="P111" s="639" t="n"/>
      <c r="Q111" s="639" t="n"/>
      <c r="R111" s="665" t="n"/>
      <c r="S111" s="758" t="n"/>
      <c r="AC111" s="758" t="n"/>
      <c r="AD111" s="758" t="n"/>
      <c r="AE111" s="758" t="n"/>
    </row>
    <row r="112" ht="18" customHeight="1" s="614">
      <c r="A112" s="667" t="n"/>
      <c r="B112" s="647" t="n"/>
      <c r="C112" s="668" t="n"/>
      <c r="H112" s="647" t="n"/>
      <c r="I112" s="669" t="inlineStr">
        <is>
          <t>ディッチ</t>
        </is>
      </c>
      <c r="J112" s="682" t="n"/>
      <c r="K112" s="682" t="n"/>
      <c r="L112" s="682" t="n"/>
      <c r="M112" s="682" t="n"/>
      <c r="N112" s="682" t="n"/>
      <c r="O112" s="683" t="n"/>
      <c r="P112" s="672" t="n"/>
      <c r="Q112" s="672" t="n"/>
      <c r="R112" s="673" t="n"/>
      <c r="S112" s="758" t="n"/>
      <c r="AC112" s="758" t="n"/>
      <c r="AD112" s="758" t="n"/>
      <c r="AE112" s="758" t="n"/>
    </row>
    <row r="113" ht="18" customHeight="1" s="614">
      <c r="A113" s="652" t="n"/>
      <c r="B113" s="654" t="n"/>
      <c r="C113" s="657" t="n"/>
      <c r="D113" s="653" t="n"/>
      <c r="E113" s="653" t="n"/>
      <c r="F113" s="653" t="n"/>
      <c r="G113" s="653" t="n"/>
      <c r="H113" s="654" t="n"/>
      <c r="I113" s="676" t="inlineStr">
        <is>
          <t>放流</t>
        </is>
      </c>
      <c r="J113" s="684" t="n"/>
      <c r="K113" s="684" t="n"/>
      <c r="L113" s="684" t="n"/>
      <c r="M113" s="684" t="n"/>
      <c r="N113" s="684" t="n"/>
      <c r="O113" s="685" t="n"/>
      <c r="R113" s="651" t="n"/>
      <c r="S113" s="758" t="n"/>
      <c r="AC113" s="758" t="n"/>
      <c r="AD113" s="758" t="n"/>
      <c r="AE113" s="758" t="n"/>
    </row>
    <row r="114" ht="18" customHeight="1" s="614">
      <c r="A114" s="660" t="inlineStr">
        <is>
          <t>透視度</t>
        </is>
      </c>
      <c r="B114" s="639" t="n"/>
      <c r="C114" s="639" t="n"/>
      <c r="D114" s="639" t="n"/>
      <c r="E114" s="639" t="n"/>
      <c r="F114" s="640" t="n"/>
      <c r="G114" s="655" t="inlineStr">
        <is>
          <t>ｃｍ</t>
        </is>
      </c>
      <c r="H114" s="640" t="n"/>
      <c r="I114" s="662" t="inlineStr">
        <is>
          <t>流入水</t>
        </is>
      </c>
      <c r="J114" s="686" t="n"/>
      <c r="K114" s="686" t="n"/>
      <c r="L114" s="686" t="n"/>
      <c r="M114" s="686" t="n"/>
      <c r="N114" s="686" t="n"/>
      <c r="O114" s="687" t="n"/>
      <c r="P114" s="688" t="n"/>
      <c r="Q114" s="688" t="n"/>
      <c r="R114" s="689" t="n"/>
      <c r="S114" s="758" t="n"/>
      <c r="AC114" s="758" t="n"/>
      <c r="AD114" s="758" t="n"/>
      <c r="AE114" s="758" t="n"/>
    </row>
    <row r="115" ht="18" customHeight="1" s="614">
      <c r="A115" s="652" t="n"/>
      <c r="B115" s="653" t="n"/>
      <c r="C115" s="653" t="n"/>
      <c r="D115" s="653" t="n"/>
      <c r="E115" s="653" t="n"/>
      <c r="F115" s="654" t="n"/>
      <c r="G115" s="657" t="n"/>
      <c r="H115" s="654" t="n"/>
      <c r="I115" s="676" t="inlineStr">
        <is>
          <t>放流水</t>
        </is>
      </c>
      <c r="J115" s="690" t="n"/>
      <c r="K115" s="690" t="n"/>
      <c r="L115" s="690" t="n"/>
      <c r="M115" s="690" t="n"/>
      <c r="N115" s="690" t="n"/>
      <c r="O115" s="691" t="n"/>
      <c r="P115" s="692" t="n"/>
      <c r="Q115" s="692" t="n"/>
      <c r="R115" s="693" t="n"/>
      <c r="S115" s="758" t="n"/>
      <c r="T115" s="659" t="n"/>
      <c r="U115" s="694" t="n"/>
      <c r="V115" s="659" t="n"/>
      <c r="W115" s="659" t="n"/>
      <c r="X115" s="659" t="n"/>
      <c r="AC115" s="758" t="n"/>
      <c r="AD115" s="758" t="n"/>
      <c r="AE115" s="758" t="n"/>
    </row>
    <row r="116" ht="18" customHeight="1" s="614">
      <c r="A116" s="660" t="inlineStr">
        <is>
          <t>臭気</t>
        </is>
      </c>
      <c r="B116" s="640" t="n"/>
      <c r="C116" s="695" t="inlineStr">
        <is>
          <t>腐敗臭</t>
        </is>
      </c>
      <c r="D116" s="639" t="n"/>
      <c r="E116" s="639" t="n"/>
      <c r="F116" s="640" t="n"/>
      <c r="G116" s="655" t="inlineStr">
        <is>
          <t>有無</t>
        </is>
      </c>
      <c r="H116" s="640" t="n"/>
      <c r="I116" s="662" t="inlineStr">
        <is>
          <t>流入</t>
        </is>
      </c>
      <c r="J116" s="696" t="n"/>
      <c r="K116" s="696" t="n"/>
      <c r="L116" s="696" t="n"/>
      <c r="M116" s="696" t="n"/>
      <c r="N116" s="696" t="n"/>
      <c r="O116" s="681" t="n"/>
      <c r="P116" s="639" t="n"/>
      <c r="Q116" s="639" t="n"/>
      <c r="R116" s="665" t="n"/>
      <c r="S116" s="758" t="n"/>
      <c r="T116" s="697" t="n"/>
      <c r="U116" s="698" t="n"/>
      <c r="V116" s="698" t="n"/>
      <c r="W116" s="698" t="n"/>
      <c r="X116" s="698" t="n"/>
      <c r="Y116" s="698" t="n"/>
      <c r="AC116" s="758" t="n"/>
      <c r="AD116" s="758" t="n"/>
      <c r="AE116" s="758" t="n"/>
    </row>
    <row r="117" ht="18" customHeight="1" s="614">
      <c r="A117" s="667" t="n"/>
      <c r="B117" s="647" t="n"/>
      <c r="C117" s="668" t="n"/>
      <c r="F117" s="647" t="n"/>
      <c r="G117" s="668" t="n"/>
      <c r="H117" s="647" t="n"/>
      <c r="I117" s="669" t="inlineStr">
        <is>
          <t>ディッチ</t>
        </is>
      </c>
      <c r="J117" s="684" t="n"/>
      <c r="K117" s="684" t="n"/>
      <c r="L117" s="684" t="n"/>
      <c r="M117" s="684" t="n"/>
      <c r="N117" s="684" t="n"/>
      <c r="O117" s="683" t="n"/>
      <c r="P117" s="672" t="n"/>
      <c r="Q117" s="672" t="n"/>
      <c r="R117" s="673" t="n"/>
      <c r="S117" s="758" t="n"/>
      <c r="T117" s="697" t="n"/>
      <c r="U117" s="698" t="n"/>
      <c r="V117" s="698" t="n"/>
      <c r="W117" s="698" t="n"/>
      <c r="X117" s="698" t="n"/>
      <c r="Y117" s="698" t="n"/>
      <c r="AC117" s="758" t="n"/>
      <c r="AD117" s="758" t="n"/>
      <c r="AE117" s="758" t="n"/>
    </row>
    <row r="118" ht="18" customHeight="1" s="614">
      <c r="A118" s="652" t="n"/>
      <c r="B118" s="654" t="n"/>
      <c r="C118" s="657" t="n"/>
      <c r="D118" s="653" t="n"/>
      <c r="E118" s="653" t="n"/>
      <c r="F118" s="654" t="n"/>
      <c r="G118" s="657" t="n"/>
      <c r="H118" s="654" t="n"/>
      <c r="I118" s="676" t="inlineStr">
        <is>
          <t>放流</t>
        </is>
      </c>
      <c r="J118" s="699" t="n"/>
      <c r="K118" s="699" t="n"/>
      <c r="L118" s="699" t="n"/>
      <c r="M118" s="699" t="n"/>
      <c r="N118" s="699" t="n"/>
      <c r="O118" s="700" t="n"/>
      <c r="P118" s="701" t="n"/>
      <c r="Q118" s="701" t="n"/>
      <c r="R118" s="702" t="n"/>
      <c r="S118" s="758" t="n"/>
      <c r="U118" s="698" t="n"/>
      <c r="V118" s="698" t="n"/>
      <c r="W118" s="698" t="n"/>
      <c r="X118" s="698" t="n"/>
      <c r="Y118" s="698" t="n"/>
      <c r="AC118" s="758" t="n"/>
      <c r="AD118" s="758" t="n"/>
      <c r="AE118" s="758" t="n"/>
    </row>
    <row r="119" ht="18" customHeight="1" s="614">
      <c r="A119" s="703" t="inlineStr">
        <is>
          <t>PH</t>
        </is>
      </c>
      <c r="B119" s="639" t="n"/>
      <c r="C119" s="639" t="n"/>
      <c r="D119" s="639" t="n"/>
      <c r="E119" s="639" t="n"/>
      <c r="F119" s="640" t="n"/>
      <c r="G119" s="661" t="inlineStr">
        <is>
          <t>―</t>
        </is>
      </c>
      <c r="H119" s="640" t="n"/>
      <c r="I119" s="662" t="inlineStr">
        <is>
          <t>流入</t>
        </is>
      </c>
      <c r="J119" s="704" t="n"/>
      <c r="K119" s="704" t="n"/>
      <c r="L119" s="704" t="n"/>
      <c r="M119" s="704" t="n"/>
      <c r="N119" s="704" t="n"/>
      <c r="O119" s="705" t="n"/>
      <c r="P119" s="706" t="n"/>
      <c r="Q119" s="706" t="n"/>
      <c r="R119" s="707" t="n"/>
      <c r="S119" s="758" t="n"/>
      <c r="AC119" s="758" t="n"/>
      <c r="AD119" s="758" t="n"/>
      <c r="AE119" s="758" t="n"/>
    </row>
    <row r="120" ht="18" customHeight="1" s="614">
      <c r="A120" s="667" t="n"/>
      <c r="F120" s="647" t="n"/>
      <c r="G120" s="668" t="n"/>
      <c r="H120" s="647" t="n"/>
      <c r="I120" s="669" t="inlineStr">
        <is>
          <t>ディッチ</t>
        </is>
      </c>
      <c r="J120" s="708" t="n"/>
      <c r="K120" s="708" t="n"/>
      <c r="L120" s="708" t="n"/>
      <c r="M120" s="708" t="n"/>
      <c r="N120" s="708" t="n"/>
      <c r="O120" s="709" t="n"/>
      <c r="P120" s="701" t="n"/>
      <c r="Q120" s="701" t="n"/>
      <c r="R120" s="702" t="n"/>
      <c r="S120" s="758" t="n"/>
      <c r="AC120" s="758" t="n"/>
      <c r="AD120" s="758" t="n"/>
      <c r="AE120" s="758" t="n"/>
    </row>
    <row r="121" ht="18" customHeight="1" s="614">
      <c r="A121" s="652" t="n"/>
      <c r="B121" s="653" t="n"/>
      <c r="C121" s="653" t="n"/>
      <c r="D121" s="653" t="n"/>
      <c r="E121" s="653" t="n"/>
      <c r="F121" s="654" t="n"/>
      <c r="G121" s="657" t="n"/>
      <c r="H121" s="654" t="n"/>
      <c r="I121" s="676" t="inlineStr">
        <is>
          <t>放流</t>
        </is>
      </c>
      <c r="J121" s="710" t="n"/>
      <c r="K121" s="710" t="n"/>
      <c r="L121" s="710" t="n"/>
      <c r="M121" s="710" t="n"/>
      <c r="N121" s="710" t="n"/>
      <c r="O121" s="711" t="n"/>
      <c r="P121" s="692" t="n"/>
      <c r="Q121" s="692" t="n"/>
      <c r="R121" s="693" t="n"/>
      <c r="S121" s="758" t="n"/>
      <c r="T121" s="712" t="n"/>
      <c r="AC121" s="758" t="n"/>
      <c r="AD121" s="758" t="n"/>
      <c r="AE121" s="758" t="n"/>
    </row>
    <row r="122" ht="18" customHeight="1" s="614">
      <c r="A122" s="713" t="inlineStr">
        <is>
          <t>SV</t>
        </is>
      </c>
      <c r="B122" s="640" t="n"/>
      <c r="C122" s="714" t="inlineStr">
        <is>
          <t>SV・10</t>
        </is>
      </c>
      <c r="D122" s="626" t="n"/>
      <c r="E122" s="626" t="n"/>
      <c r="F122" s="627" t="n"/>
      <c r="G122" s="655" t="inlineStr">
        <is>
          <t>％</t>
        </is>
      </c>
      <c r="H122" s="640" t="n"/>
      <c r="I122" s="715" t="inlineStr">
        <is>
          <t>ディッチ</t>
        </is>
      </c>
      <c r="J122" s="716" t="n"/>
      <c r="K122" s="716" t="n"/>
      <c r="L122" s="716" t="n"/>
      <c r="M122" s="716" t="n"/>
      <c r="N122" s="716" t="n"/>
      <c r="O122" s="717" t="n"/>
      <c r="P122" s="639" t="n"/>
      <c r="Q122" s="639" t="n"/>
      <c r="R122" s="665" t="n"/>
      <c r="S122" s="758" t="n"/>
      <c r="T122" s="712" t="n"/>
      <c r="AC122" s="758" t="n"/>
      <c r="AD122" s="758" t="n"/>
      <c r="AE122" s="758" t="n"/>
    </row>
    <row r="123" ht="18" customHeight="1" s="614">
      <c r="A123" s="667" t="n"/>
      <c r="B123" s="647" t="n"/>
      <c r="C123" s="714" t="inlineStr">
        <is>
          <t>SV・20</t>
        </is>
      </c>
      <c r="D123" s="626" t="n"/>
      <c r="E123" s="626" t="n"/>
      <c r="F123" s="627" t="n"/>
      <c r="G123" s="668" t="n"/>
      <c r="H123" s="647" t="n"/>
      <c r="I123" s="668" t="n"/>
      <c r="J123" s="718" t="n"/>
      <c r="K123" s="718" t="n"/>
      <c r="L123" s="718" t="n"/>
      <c r="M123" s="718" t="n"/>
      <c r="N123" s="718" t="n"/>
      <c r="O123" s="671" t="n"/>
      <c r="P123" s="672" t="n"/>
      <c r="Q123" s="672" t="n"/>
      <c r="R123" s="673" t="n"/>
      <c r="S123" s="758" t="n"/>
      <c r="T123" s="659" t="n"/>
      <c r="AC123" s="758" t="n"/>
      <c r="AD123" s="758" t="n"/>
      <c r="AE123" s="758" t="n"/>
    </row>
    <row r="124" ht="18" customHeight="1" s="614">
      <c r="A124" s="667" t="n"/>
      <c r="B124" s="647" t="n"/>
      <c r="C124" s="714" t="inlineStr">
        <is>
          <t>SV・30</t>
        </is>
      </c>
      <c r="D124" s="626" t="n"/>
      <c r="E124" s="626" t="n"/>
      <c r="F124" s="627" t="n"/>
      <c r="G124" s="668" t="n"/>
      <c r="H124" s="647" t="n"/>
      <c r="I124" s="668" t="n"/>
      <c r="J124" s="719" t="n"/>
      <c r="K124" s="719" t="n"/>
      <c r="L124" s="719" t="n"/>
      <c r="M124" s="719" t="n"/>
      <c r="N124" s="719" t="n"/>
      <c r="O124" s="671" t="n"/>
      <c r="P124" s="672" t="n"/>
      <c r="Q124" s="672" t="n"/>
      <c r="R124" s="673" t="n"/>
      <c r="S124" s="758" t="n"/>
      <c r="T124" s="659" t="n"/>
      <c r="AC124" s="758" t="n"/>
      <c r="AD124" s="758" t="n"/>
      <c r="AE124" s="758" t="n"/>
    </row>
    <row r="125" ht="18" customHeight="1" s="614">
      <c r="A125" s="652" t="n"/>
      <c r="B125" s="654" t="n"/>
      <c r="C125" s="714" t="inlineStr">
        <is>
          <t>SV・24h</t>
        </is>
      </c>
      <c r="D125" s="626" t="n"/>
      <c r="E125" s="626" t="n"/>
      <c r="F125" s="627" t="n"/>
      <c r="G125" s="657" t="n"/>
      <c r="H125" s="654" t="n"/>
      <c r="I125" s="657" t="n"/>
      <c r="J125" s="720" t="n"/>
      <c r="K125" s="720" t="n"/>
      <c r="L125" s="720" t="n"/>
      <c r="M125" s="720" t="n"/>
      <c r="N125" s="720" t="n"/>
      <c r="O125" s="721" t="n"/>
      <c r="P125" s="701" t="n"/>
      <c r="Q125" s="701" t="n"/>
      <c r="R125" s="702" t="n"/>
      <c r="S125" s="758" t="n"/>
      <c r="AC125" s="758" t="n"/>
      <c r="AD125" s="758" t="n"/>
      <c r="AE125" s="758" t="n"/>
    </row>
    <row r="126" ht="18" customHeight="1" s="614">
      <c r="A126" s="713" t="inlineStr">
        <is>
          <t>MLSS</t>
        </is>
      </c>
      <c r="B126" s="626" t="n"/>
      <c r="C126" s="626" t="n"/>
      <c r="D126" s="626" t="n"/>
      <c r="E126" s="626" t="n"/>
      <c r="F126" s="627" t="n"/>
      <c r="G126" s="655" t="inlineStr">
        <is>
          <t>㎎/ℓ</t>
        </is>
      </c>
      <c r="H126" s="627" t="n"/>
      <c r="I126" s="722" t="inlineStr">
        <is>
          <t>ディッチ</t>
        </is>
      </c>
      <c r="J126" s="723" t="n"/>
      <c r="K126" s="723" t="n"/>
      <c r="L126" s="723" t="n"/>
      <c r="M126" s="723" t="n"/>
      <c r="N126" s="723" t="n"/>
      <c r="O126" s="687" t="n"/>
      <c r="P126" s="688" t="n"/>
      <c r="Q126" s="688" t="n"/>
      <c r="R126" s="689" t="n"/>
      <c r="S126" s="758" t="n"/>
      <c r="AC126" s="758" t="n"/>
      <c r="AD126" s="758" t="n"/>
      <c r="AE126" s="758" t="n"/>
    </row>
    <row r="127" ht="18" customHeight="1" s="614">
      <c r="A127" s="660" t="inlineStr">
        <is>
          <t>汚泥界面</t>
        </is>
      </c>
      <c r="B127" s="626" t="n"/>
      <c r="C127" s="626" t="n"/>
      <c r="D127" s="626" t="n"/>
      <c r="E127" s="626" t="n"/>
      <c r="F127" s="627" t="n"/>
      <c r="G127" s="655" t="inlineStr">
        <is>
          <t>ｃｍ</t>
        </is>
      </c>
      <c r="H127" s="627" t="n"/>
      <c r="I127" s="724" t="inlineStr">
        <is>
          <t>終沈</t>
        </is>
      </c>
      <c r="J127" s="725" t="n"/>
      <c r="K127" s="725" t="n"/>
      <c r="L127" s="725" t="n"/>
      <c r="M127" s="725" t="n"/>
      <c r="N127" s="725" t="n"/>
      <c r="O127" s="726" t="n"/>
      <c r="P127" s="688" t="n"/>
      <c r="Q127" s="688" t="n"/>
      <c r="R127" s="689" t="n"/>
      <c r="S127" s="758" t="n"/>
      <c r="AC127" s="758" t="n"/>
      <c r="AD127" s="758" t="n"/>
      <c r="AE127" s="758" t="n"/>
    </row>
    <row r="128" ht="18" customHeight="1" s="614">
      <c r="A128" s="660" t="inlineStr">
        <is>
          <t>残留塩素</t>
        </is>
      </c>
      <c r="B128" s="626" t="n"/>
      <c r="C128" s="626" t="n"/>
      <c r="D128" s="626" t="n"/>
      <c r="E128" s="626" t="n"/>
      <c r="F128" s="627" t="n"/>
      <c r="G128" s="655" t="inlineStr">
        <is>
          <t>㎎/ℓ</t>
        </is>
      </c>
      <c r="H128" s="627" t="n"/>
      <c r="I128" s="722" t="inlineStr">
        <is>
          <t>放流水</t>
        </is>
      </c>
      <c r="J128" s="727" t="n"/>
      <c r="K128" s="727" t="n"/>
      <c r="L128" s="727" t="n"/>
      <c r="M128" s="727" t="n"/>
      <c r="N128" s="727" t="n"/>
      <c r="O128" s="687" t="n"/>
      <c r="P128" s="688" t="n"/>
      <c r="Q128" s="688" t="n"/>
      <c r="R128" s="689" t="n"/>
      <c r="S128" s="758" t="n"/>
      <c r="AC128" s="758" t="n"/>
      <c r="AD128" s="758" t="n"/>
      <c r="AE128" s="758" t="n"/>
    </row>
    <row r="129" ht="18" customHeight="1" s="614">
      <c r="A129" s="625" t="inlineStr">
        <is>
          <t>塩素投入量</t>
        </is>
      </c>
      <c r="B129" s="626" t="n"/>
      <c r="C129" s="626" t="n"/>
      <c r="D129" s="626" t="n"/>
      <c r="E129" s="626" t="n"/>
      <c r="F129" s="627" t="n"/>
      <c r="G129" s="728" t="inlineStr">
        <is>
          <t>kg</t>
        </is>
      </c>
      <c r="H129" s="640" t="n"/>
      <c r="I129" s="729" t="inlineStr">
        <is>
          <t>塩素混和池</t>
        </is>
      </c>
      <c r="J129" s="730" t="n"/>
      <c r="K129" s="730" t="n"/>
      <c r="L129" s="730" t="n"/>
      <c r="M129" s="730" t="n"/>
      <c r="N129" s="730" t="n"/>
      <c r="O129" s="752" t="n"/>
      <c r="P129" s="626" t="n"/>
      <c r="Q129" s="626" t="n"/>
      <c r="R129" s="631" t="n"/>
      <c r="S129" s="758" t="n"/>
      <c r="AC129" s="758" t="n"/>
      <c r="AD129" s="758" t="n"/>
      <c r="AE129" s="758" t="n"/>
    </row>
    <row r="130" ht="18" customHeight="1" s="614">
      <c r="A130" s="732" t="inlineStr">
        <is>
          <t xml:space="preserve">　備　　考</t>
        </is>
      </c>
      <c r="G130" s="733" t="n"/>
      <c r="H130" s="639" t="n"/>
      <c r="I130" s="734" t="n"/>
      <c r="J130" s="735" t="n"/>
      <c r="K130" s="735" t="n"/>
      <c r="L130" s="735" t="n"/>
      <c r="M130" s="735" t="n"/>
      <c r="N130" s="736" t="n"/>
      <c r="O130" s="737" t="n"/>
      <c r="P130" s="639" t="n"/>
      <c r="Q130" s="639" t="n"/>
      <c r="R130" s="665" t="n"/>
      <c r="S130" s="758" t="n"/>
      <c r="AC130" s="758" t="n"/>
      <c r="AD130" s="758" t="n"/>
      <c r="AE130" s="758" t="n"/>
    </row>
    <row r="131" ht="18" customHeight="1" s="614">
      <c r="A131" s="738" t="n"/>
      <c r="R131" s="651" t="n"/>
      <c r="S131" s="758" t="n"/>
      <c r="AC131" s="758" t="n"/>
      <c r="AD131" s="758" t="n"/>
      <c r="AE131" s="758" t="n"/>
    </row>
    <row r="132" ht="18" customHeight="1" s="614">
      <c r="A132" s="667" t="n"/>
      <c r="R132" s="651" t="n"/>
      <c r="S132" s="758" t="n"/>
      <c r="AC132" s="758" t="n"/>
      <c r="AD132" s="758" t="n"/>
      <c r="AE132" s="758" t="n"/>
    </row>
    <row r="133" ht="18" customHeight="1" s="614">
      <c r="A133" s="667" t="n"/>
      <c r="R133" s="651" t="n"/>
      <c r="S133" s="758" t="n"/>
      <c r="AC133" s="758" t="n"/>
      <c r="AD133" s="758" t="n"/>
      <c r="AE133" s="758" t="n"/>
    </row>
    <row r="134" ht="18" customHeight="1" s="614">
      <c r="A134" s="667" t="n"/>
      <c r="R134" s="651" t="n"/>
      <c r="S134" s="758" t="n"/>
      <c r="AC134" s="758" t="n"/>
      <c r="AD134" s="758" t="n"/>
      <c r="AE134" s="758" t="n"/>
    </row>
    <row r="135" ht="18" customHeight="1" s="614">
      <c r="A135" s="667" t="n"/>
      <c r="R135" s="651" t="n"/>
      <c r="S135" s="758" t="n"/>
      <c r="AC135" s="758" t="n"/>
      <c r="AD135" s="758" t="n"/>
      <c r="AE135" s="758" t="n"/>
    </row>
    <row r="136" ht="18" customHeight="1" s="614">
      <c r="A136" s="667" t="n"/>
      <c r="R136" s="651" t="n"/>
      <c r="S136" s="758" t="n"/>
      <c r="AC136" s="758" t="n"/>
      <c r="AD136" s="758" t="n"/>
      <c r="AE136" s="758" t="n"/>
    </row>
    <row r="137" ht="18" customHeight="1" s="614">
      <c r="A137" s="667" t="n"/>
      <c r="R137" s="651" t="n"/>
      <c r="S137" s="758" t="n"/>
      <c r="AC137" s="758" t="n"/>
      <c r="AD137" s="758" t="n"/>
      <c r="AE137" s="758" t="n"/>
    </row>
    <row r="138" ht="18" customHeight="1" s="614">
      <c r="A138" s="739" t="n"/>
      <c r="B138" s="618" t="n"/>
      <c r="C138" s="618" t="n"/>
      <c r="D138" s="618" t="n"/>
      <c r="E138" s="618" t="n"/>
      <c r="F138" s="618" t="n"/>
      <c r="G138" s="618" t="n"/>
      <c r="H138" s="618" t="n"/>
      <c r="I138" s="618" t="n"/>
      <c r="J138" s="618" t="n"/>
      <c r="K138" s="618" t="n"/>
      <c r="L138" s="618" t="n"/>
      <c r="M138" s="618" t="n"/>
      <c r="N138" s="618" t="n"/>
      <c r="O138" s="618" t="n"/>
      <c r="P138" s="618" t="n"/>
      <c r="Q138" s="618" t="n"/>
      <c r="R138" s="740" t="n"/>
      <c r="S138" s="758" t="n"/>
      <c r="AC138" s="758" t="n"/>
      <c r="AD138" s="758" t="n"/>
      <c r="AE138" s="758" t="n"/>
    </row>
    <row r="139" ht="29.25" customHeight="1" s="614">
      <c r="A139" s="615" t="inlineStr">
        <is>
          <t>加計浄化センター維持管理週報</t>
        </is>
      </c>
      <c r="M139" s="758" t="n"/>
      <c r="N139" s="758" t="n"/>
      <c r="O139" s="758" t="n"/>
      <c r="P139" s="758" t="n"/>
      <c r="Q139" s="758" t="n"/>
      <c r="R139" s="758" t="n"/>
      <c r="S139" s="758" t="n"/>
      <c r="AC139" s="758" t="n"/>
      <c r="AD139" s="758" t="n"/>
      <c r="AE139" s="758" t="n"/>
    </row>
    <row r="140" ht="15" customHeight="1" s="614">
      <c r="A140" s="618" t="n"/>
      <c r="B140" s="618" t="n"/>
      <c r="C140" s="618" t="n"/>
      <c r="D140" s="618" t="n"/>
      <c r="E140" s="618" t="n"/>
      <c r="F140" s="618" t="n"/>
      <c r="G140" s="618" t="n"/>
      <c r="H140" s="618" t="n"/>
      <c r="I140" s="618" t="n"/>
      <c r="J140" s="618" t="n"/>
      <c r="K140" s="618" t="n"/>
      <c r="L140" s="618" t="n"/>
      <c r="M140" s="758" t="n"/>
      <c r="N140" s="758" t="n"/>
      <c r="O140" s="758" t="n"/>
      <c r="P140" s="758" t="n"/>
      <c r="Q140" s="758" t="n"/>
      <c r="R140" s="758" t="n"/>
      <c r="S140" s="758" t="n"/>
      <c r="AC140" s="758" t="n"/>
      <c r="AD140" s="758" t="n"/>
      <c r="AE140" s="758" t="n"/>
    </row>
    <row r="141" ht="18" customHeight="1" s="614">
      <c r="A141" s="619" t="n"/>
      <c r="B141" s="620" t="n"/>
      <c r="C141" s="620" t="n"/>
      <c r="D141" s="620" t="n"/>
      <c r="E141" s="620" t="n"/>
      <c r="F141" s="620" t="n"/>
      <c r="G141" s="620" t="n"/>
      <c r="H141" s="621" t="n"/>
      <c r="I141" s="622" t="n"/>
      <c r="J141" s="622" t="n"/>
      <c r="K141" s="622" t="n"/>
      <c r="L141" s="622" t="n"/>
      <c r="M141" s="622" t="n"/>
      <c r="N141" s="622" t="n"/>
      <c r="O141" s="623" t="inlineStr">
        <is>
          <t>平均</t>
        </is>
      </c>
      <c r="P141" s="620" t="n"/>
      <c r="Q141" s="620" t="n"/>
      <c r="R141" s="624" t="n"/>
      <c r="S141" s="758" t="n"/>
      <c r="AC141" s="758" t="n"/>
      <c r="AD141" s="758" t="n"/>
      <c r="AE141" s="758" t="n"/>
    </row>
    <row r="142" ht="18" customHeight="1" s="614">
      <c r="A142" s="625" t="inlineStr">
        <is>
          <t>全日電力量</t>
        </is>
      </c>
      <c r="B142" s="626" t="n"/>
      <c r="C142" s="626" t="n"/>
      <c r="D142" s="626" t="n"/>
      <c r="E142" s="626" t="n"/>
      <c r="F142" s="627" t="n"/>
      <c r="G142" s="628" t="inlineStr">
        <is>
          <t>Kｗｈ</t>
        </is>
      </c>
      <c r="H142" s="627" t="n"/>
      <c r="I142" s="629" t="n"/>
      <c r="J142" s="629" t="n"/>
      <c r="K142" s="629" t="n"/>
      <c r="L142" s="629" t="n"/>
      <c r="M142" s="629" t="n"/>
      <c r="N142" s="629" t="n"/>
      <c r="O142" s="630" t="n"/>
      <c r="P142" s="626" t="n"/>
      <c r="Q142" s="626" t="n"/>
      <c r="R142" s="631" t="n"/>
      <c r="S142" s="758" t="n"/>
      <c r="X142" s="760" t="n"/>
      <c r="AC142" s="758" t="n"/>
      <c r="AD142" s="758" t="n"/>
      <c r="AE142" s="758" t="n"/>
    </row>
    <row r="143" ht="18" customHeight="1" s="614">
      <c r="A143" s="625" t="inlineStr">
        <is>
          <t>力測電力量</t>
        </is>
      </c>
      <c r="B143" s="626" t="n"/>
      <c r="C143" s="626" t="n"/>
      <c r="D143" s="626" t="n"/>
      <c r="E143" s="626" t="n"/>
      <c r="F143" s="627" t="n"/>
      <c r="G143" s="628" t="inlineStr">
        <is>
          <t>Kｗｈ</t>
        </is>
      </c>
      <c r="H143" s="627" t="n"/>
      <c r="I143" s="629" t="n"/>
      <c r="J143" s="629" t="n"/>
      <c r="K143" s="629" t="n"/>
      <c r="L143" s="629" t="n"/>
      <c r="M143" s="629" t="n"/>
      <c r="N143" s="629" t="n"/>
      <c r="O143" s="630" t="n"/>
      <c r="P143" s="626" t="n"/>
      <c r="Q143" s="626" t="n"/>
      <c r="R143" s="631" t="n"/>
      <c r="S143" s="758" t="n"/>
      <c r="X143" s="760" t="n"/>
      <c r="AC143" s="758" t="n"/>
      <c r="AD143" s="758" t="n"/>
      <c r="AE143" s="758" t="n"/>
    </row>
    <row r="144" ht="18" customHeight="1" s="614">
      <c r="A144" s="625" t="inlineStr">
        <is>
          <t>無効電力量</t>
        </is>
      </c>
      <c r="B144" s="626" t="n"/>
      <c r="C144" s="626" t="n"/>
      <c r="D144" s="626" t="n"/>
      <c r="E144" s="626" t="n"/>
      <c r="F144" s="627" t="n"/>
      <c r="G144" s="628" t="inlineStr">
        <is>
          <t>Kvar</t>
        </is>
      </c>
      <c r="H144" s="627" t="n"/>
      <c r="I144" s="629" t="n"/>
      <c r="J144" s="629" t="n"/>
      <c r="K144" s="629" t="n"/>
      <c r="L144" s="629" t="n"/>
      <c r="M144" s="629" t="n"/>
      <c r="N144" s="629" t="n"/>
      <c r="O144" s="633" t="n"/>
      <c r="P144" s="626" t="n"/>
      <c r="Q144" s="626" t="n"/>
      <c r="R144" s="631" t="n"/>
      <c r="S144" s="758" t="n"/>
      <c r="X144" s="760" t="n"/>
      <c r="AC144" s="758" t="n"/>
      <c r="AD144" s="758" t="n"/>
      <c r="AE144" s="758" t="n"/>
    </row>
    <row r="145" ht="18" customHeight="1" s="614">
      <c r="A145" s="625" t="inlineStr">
        <is>
          <t>デマンド</t>
        </is>
      </c>
      <c r="B145" s="626" t="n"/>
      <c r="C145" s="626" t="n"/>
      <c r="D145" s="626" t="n"/>
      <c r="E145" s="626" t="n"/>
      <c r="F145" s="627" t="n"/>
      <c r="G145" s="628" t="inlineStr">
        <is>
          <t>Kw</t>
        </is>
      </c>
      <c r="H145" s="627" t="n"/>
      <c r="I145" s="629" t="n"/>
      <c r="J145" s="629" t="n"/>
      <c r="K145" s="629" t="n"/>
      <c r="L145" s="629" t="n"/>
      <c r="M145" s="629" t="n"/>
      <c r="N145" s="629" t="n"/>
      <c r="O145" s="630" t="n"/>
      <c r="P145" s="626" t="n"/>
      <c r="Q145" s="626" t="n"/>
      <c r="R145" s="631" t="n"/>
      <c r="S145" s="758" t="n"/>
      <c r="X145" s="760" t="n"/>
      <c r="AC145" s="758" t="n"/>
      <c r="AD145" s="758" t="n"/>
      <c r="AE145" s="758" t="n"/>
    </row>
    <row r="146" ht="18" customHeight="1" s="614">
      <c r="A146" s="625" t="inlineStr">
        <is>
          <t>水道使用量</t>
        </is>
      </c>
      <c r="B146" s="626" t="n"/>
      <c r="C146" s="626" t="n"/>
      <c r="D146" s="626" t="n"/>
      <c r="E146" s="626" t="n"/>
      <c r="F146" s="627" t="n"/>
      <c r="G146" s="635" t="inlineStr">
        <is>
          <t>㎥</t>
        </is>
      </c>
      <c r="H146" s="627" t="n"/>
      <c r="I146" s="629" t="n"/>
      <c r="J146" s="629" t="n"/>
      <c r="K146" s="629" t="n"/>
      <c r="L146" s="629" t="n"/>
      <c r="M146" s="629" t="n"/>
      <c r="N146" s="629" t="n"/>
      <c r="O146" s="630" t="n"/>
      <c r="P146" s="626" t="n"/>
      <c r="Q146" s="626" t="n"/>
      <c r="R146" s="631" t="n"/>
      <c r="S146" s="758" t="n"/>
      <c r="X146" s="760" t="n"/>
      <c r="AC146" s="758" t="n"/>
      <c r="AD146" s="758" t="n"/>
      <c r="AE146" s="758" t="n"/>
    </row>
    <row r="147" ht="18" customHeight="1" s="614">
      <c r="A147" s="625" t="inlineStr">
        <is>
          <t>軽油(残量)</t>
        </is>
      </c>
      <c r="B147" s="626" t="n"/>
      <c r="C147" s="626" t="n"/>
      <c r="D147" s="626" t="n"/>
      <c r="E147" s="626" t="n"/>
      <c r="F147" s="627" t="n"/>
      <c r="G147" s="628" t="inlineStr">
        <is>
          <t>ℓ</t>
        </is>
      </c>
      <c r="H147" s="627" t="n"/>
      <c r="I147" s="636" t="n"/>
      <c r="J147" s="636" t="n"/>
      <c r="K147" s="636" t="n"/>
      <c r="L147" s="636" t="n"/>
      <c r="M147" s="636" t="n"/>
      <c r="N147" s="636" t="n"/>
      <c r="O147" s="630" t="n"/>
      <c r="P147" s="626" t="n"/>
      <c r="Q147" s="626" t="n"/>
      <c r="R147" s="631" t="n"/>
      <c r="S147" s="758" t="n"/>
      <c r="X147" s="760" t="n"/>
      <c r="AC147" s="758" t="n"/>
      <c r="AD147" s="758" t="n"/>
      <c r="AE147" s="758" t="n"/>
    </row>
    <row r="148" ht="18" customHeight="1" s="614">
      <c r="A148" s="625" t="inlineStr">
        <is>
          <t>返送汚泥流量</t>
        </is>
      </c>
      <c r="B148" s="626" t="n"/>
      <c r="C148" s="626" t="n"/>
      <c r="D148" s="626" t="n"/>
      <c r="E148" s="626" t="n"/>
      <c r="F148" s="627" t="n"/>
      <c r="G148" s="635" t="inlineStr">
        <is>
          <t>㎥</t>
        </is>
      </c>
      <c r="H148" s="627" t="n"/>
      <c r="I148" s="636" t="n"/>
      <c r="J148" s="636" t="n"/>
      <c r="K148" s="636" t="n"/>
      <c r="L148" s="636" t="n"/>
      <c r="M148" s="636" t="n"/>
      <c r="N148" s="636" t="n"/>
      <c r="O148" s="630" t="n"/>
      <c r="P148" s="626" t="n"/>
      <c r="Q148" s="626" t="n"/>
      <c r="R148" s="631" t="n"/>
      <c r="S148" s="758" t="n"/>
      <c r="AC148" s="758" t="n"/>
      <c r="AD148" s="758" t="n"/>
      <c r="AE148" s="758" t="n"/>
    </row>
    <row r="149" ht="18" customHeight="1" s="614">
      <c r="A149" s="625" t="inlineStr">
        <is>
          <t>余剰汚泥流量</t>
        </is>
      </c>
      <c r="B149" s="626" t="n"/>
      <c r="C149" s="626" t="n"/>
      <c r="D149" s="626" t="n"/>
      <c r="E149" s="626" t="n"/>
      <c r="F149" s="627" t="n"/>
      <c r="G149" s="635" t="inlineStr">
        <is>
          <t>㎥</t>
        </is>
      </c>
      <c r="H149" s="627" t="n"/>
      <c r="I149" s="637" t="n"/>
      <c r="J149" s="637" t="n"/>
      <c r="K149" s="637" t="n"/>
      <c r="L149" s="637" t="n"/>
      <c r="M149" s="637" t="n"/>
      <c r="N149" s="637" t="n"/>
      <c r="O149" s="630" t="n"/>
      <c r="P149" s="626" t="n"/>
      <c r="Q149" s="626" t="n"/>
      <c r="R149" s="631" t="n"/>
      <c r="S149" s="758" t="n"/>
      <c r="AC149" s="758" t="n"/>
      <c r="AD149" s="758" t="n"/>
      <c r="AE149" s="758" t="n"/>
    </row>
    <row r="150" ht="18" customHeight="1" s="614">
      <c r="A150" s="638" t="inlineStr">
        <is>
          <t>放流流量</t>
        </is>
      </c>
      <c r="B150" s="639" t="n"/>
      <c r="C150" s="639" t="n"/>
      <c r="D150" s="639" t="n"/>
      <c r="E150" s="639" t="n"/>
      <c r="F150" s="640" t="n"/>
      <c r="G150" s="641" t="inlineStr">
        <is>
          <t>㎥</t>
        </is>
      </c>
      <c r="H150" s="640" t="n"/>
      <c r="I150" s="642" t="n"/>
      <c r="J150" s="642" t="n"/>
      <c r="K150" s="642" t="n"/>
      <c r="L150" s="642" t="n"/>
      <c r="M150" s="642" t="n"/>
      <c r="N150" s="642" t="n"/>
      <c r="O150" s="630" t="n"/>
      <c r="P150" s="626" t="n"/>
      <c r="Q150" s="626" t="n"/>
      <c r="R150" s="631" t="n"/>
      <c r="S150" s="758" t="n"/>
      <c r="AC150" s="758" t="n"/>
      <c r="AD150" s="758" t="n"/>
      <c r="AE150" s="758" t="n"/>
    </row>
    <row r="151" ht="45" customHeight="1" s="614">
      <c r="A151" s="643" t="inlineStr">
        <is>
          <t>日 常 水 質 測 定 結 果</t>
        </is>
      </c>
      <c r="B151" s="644" t="n"/>
      <c r="C151" s="644" t="n"/>
      <c r="D151" s="644" t="n"/>
      <c r="E151" s="644" t="n"/>
      <c r="F151" s="644" t="n"/>
      <c r="G151" s="644" t="n"/>
      <c r="H151" s="644" t="n"/>
      <c r="I151" s="644" t="n"/>
      <c r="J151" s="644" t="n"/>
      <c r="K151" s="644" t="n"/>
      <c r="L151" s="644" t="n"/>
      <c r="M151" s="644" t="n"/>
      <c r="N151" s="644" t="n"/>
      <c r="O151" s="644" t="n"/>
      <c r="P151" s="644" t="n"/>
      <c r="Q151" s="644" t="n"/>
      <c r="R151" s="645" t="n"/>
      <c r="S151" s="758" t="n"/>
      <c r="AC151" s="758" t="n"/>
      <c r="AD151" s="758" t="n"/>
      <c r="AE151" s="758" t="n"/>
    </row>
    <row r="152" ht="18" customHeight="1" s="614">
      <c r="A152" s="646" t="inlineStr">
        <is>
          <t>測 定 項 目</t>
        </is>
      </c>
      <c r="H152" s="647" t="n"/>
      <c r="I152" s="648" t="inlineStr">
        <is>
          <t>測定日</t>
        </is>
      </c>
      <c r="J152" s="649" t="n"/>
      <c r="K152" s="649" t="n"/>
      <c r="L152" s="649" t="n"/>
      <c r="M152" s="649" t="n"/>
      <c r="N152" s="649" t="n"/>
      <c r="O152" s="650">
        <f>O141</f>
        <v/>
      </c>
      <c r="R152" s="651" t="n"/>
      <c r="S152" s="758" t="n"/>
      <c r="AC152" s="758" t="n"/>
      <c r="AD152" s="758" t="n"/>
      <c r="AE152" s="758" t="n"/>
    </row>
    <row r="153" ht="18" customHeight="1" s="614">
      <c r="A153" s="652" t="n"/>
      <c r="B153" s="653" t="n"/>
      <c r="C153" s="653" t="n"/>
      <c r="D153" s="653" t="n"/>
      <c r="E153" s="653" t="n"/>
      <c r="F153" s="653" t="n"/>
      <c r="G153" s="653" t="n"/>
      <c r="H153" s="654" t="n"/>
      <c r="I153" s="655" t="inlineStr">
        <is>
          <t>測定者</t>
        </is>
      </c>
      <c r="J153" s="656" t="n"/>
      <c r="K153" s="656" t="n"/>
      <c r="L153" s="656" t="n"/>
      <c r="M153" s="656" t="n"/>
      <c r="N153" s="656" t="n"/>
      <c r="O153" s="657" t="n"/>
      <c r="P153" s="653" t="n"/>
      <c r="Q153" s="653" t="n"/>
      <c r="R153" s="658" t="n"/>
      <c r="S153" s="758" t="n"/>
      <c r="AC153" s="758" t="n"/>
      <c r="AD153" s="758" t="n"/>
      <c r="AE153" s="758" t="n"/>
    </row>
    <row r="154" ht="18" customHeight="1" s="614">
      <c r="A154" s="660" t="inlineStr">
        <is>
          <t xml:space="preserve">水温　　　　　</t>
        </is>
      </c>
      <c r="B154" s="639" t="n"/>
      <c r="C154" s="639" t="n"/>
      <c r="D154" s="639" t="n"/>
      <c r="E154" s="639" t="n"/>
      <c r="F154" s="640" t="n"/>
      <c r="G154" s="661" t="inlineStr">
        <is>
          <t>℃</t>
        </is>
      </c>
      <c r="H154" s="640" t="n"/>
      <c r="I154" s="662" t="inlineStr">
        <is>
          <t>流入</t>
        </is>
      </c>
      <c r="J154" s="663" t="n"/>
      <c r="K154" s="663" t="n"/>
      <c r="L154" s="663" t="n"/>
      <c r="M154" s="663" t="n"/>
      <c r="N154" s="663" t="n"/>
      <c r="O154" s="664" t="n"/>
      <c r="P154" s="639" t="n"/>
      <c r="Q154" s="639" t="n"/>
      <c r="R154" s="665" t="n"/>
      <c r="S154" s="666" t="n"/>
      <c r="AC154" s="758" t="n"/>
      <c r="AD154" s="758" t="n"/>
      <c r="AE154" s="758" t="n"/>
    </row>
    <row r="155" ht="18" customHeight="1" s="614">
      <c r="A155" s="667" t="n"/>
      <c r="F155" s="647" t="n"/>
      <c r="G155" s="668" t="n"/>
      <c r="H155" s="647" t="n"/>
      <c r="I155" s="669" t="inlineStr">
        <is>
          <t>ディッチ</t>
        </is>
      </c>
      <c r="J155" s="670" t="n"/>
      <c r="K155" s="670" t="n"/>
      <c r="L155" s="670" t="n"/>
      <c r="M155" s="670" t="n"/>
      <c r="N155" s="670" t="n"/>
      <c r="O155" s="671" t="n"/>
      <c r="P155" s="672" t="n"/>
      <c r="Q155" s="672" t="n"/>
      <c r="R155" s="673" t="n"/>
      <c r="S155" s="674" t="n"/>
      <c r="T155" s="675" t="n"/>
      <c r="AC155" s="758" t="n"/>
      <c r="AD155" s="758" t="n"/>
      <c r="AE155" s="758" t="n"/>
    </row>
    <row r="156" ht="18" customHeight="1" s="614">
      <c r="A156" s="652" t="n"/>
      <c r="B156" s="653" t="n"/>
      <c r="C156" s="653" t="n"/>
      <c r="D156" s="653" t="n"/>
      <c r="E156" s="653" t="n"/>
      <c r="F156" s="654" t="n"/>
      <c r="G156" s="657" t="n"/>
      <c r="H156" s="654" t="n"/>
      <c r="I156" s="676" t="inlineStr">
        <is>
          <t>放流</t>
        </is>
      </c>
      <c r="J156" s="677" t="n"/>
      <c r="K156" s="677" t="n"/>
      <c r="L156" s="677" t="n"/>
      <c r="M156" s="677" t="n"/>
      <c r="N156" s="677" t="n"/>
      <c r="O156" s="678" t="n"/>
      <c r="P156" s="653" t="n"/>
      <c r="Q156" s="653" t="n"/>
      <c r="R156" s="658" t="n"/>
      <c r="S156" s="674" t="n"/>
      <c r="AC156" s="758" t="n"/>
      <c r="AD156" s="758" t="n"/>
      <c r="AE156" s="758" t="n"/>
    </row>
    <row r="157" ht="18" customHeight="1" s="614">
      <c r="A157" s="660" t="inlineStr">
        <is>
          <t>外観</t>
        </is>
      </c>
      <c r="B157" s="640" t="n"/>
      <c r="C157" s="761" t="inlineStr">
        <is>
          <t>油膜・色合</t>
        </is>
      </c>
      <c r="D157" s="639" t="n"/>
      <c r="E157" s="639" t="n"/>
      <c r="F157" s="639" t="n"/>
      <c r="G157" s="639" t="n"/>
      <c r="H157" s="640" t="n"/>
      <c r="I157" s="662" t="inlineStr">
        <is>
          <t>流入</t>
        </is>
      </c>
      <c r="J157" s="680" t="n"/>
      <c r="K157" s="680" t="n"/>
      <c r="L157" s="680" t="n"/>
      <c r="M157" s="680" t="n"/>
      <c r="N157" s="680" t="n"/>
      <c r="O157" s="681" t="n"/>
      <c r="P157" s="639" t="n"/>
      <c r="Q157" s="639" t="n"/>
      <c r="R157" s="665" t="n"/>
      <c r="S157" s="758" t="n"/>
      <c r="AC157" s="758" t="n"/>
      <c r="AD157" s="758" t="n"/>
      <c r="AE157" s="758" t="n"/>
    </row>
    <row r="158" ht="18" customHeight="1" s="614">
      <c r="A158" s="667" t="n"/>
      <c r="B158" s="647" t="n"/>
      <c r="C158" s="668" t="n"/>
      <c r="H158" s="647" t="n"/>
      <c r="I158" s="669" t="inlineStr">
        <is>
          <t>ディッチ</t>
        </is>
      </c>
      <c r="J158" s="682" t="n"/>
      <c r="K158" s="682" t="n"/>
      <c r="L158" s="682" t="n"/>
      <c r="M158" s="682" t="n"/>
      <c r="N158" s="682" t="n"/>
      <c r="O158" s="683" t="n"/>
      <c r="P158" s="672" t="n"/>
      <c r="Q158" s="672" t="n"/>
      <c r="R158" s="673" t="n"/>
      <c r="S158" s="758" t="n"/>
      <c r="AC158" s="758" t="n"/>
      <c r="AD158" s="758" t="n"/>
      <c r="AE158" s="758" t="n"/>
    </row>
    <row r="159" ht="18" customHeight="1" s="614">
      <c r="A159" s="652" t="n"/>
      <c r="B159" s="654" t="n"/>
      <c r="C159" s="657" t="n"/>
      <c r="D159" s="653" t="n"/>
      <c r="E159" s="653" t="n"/>
      <c r="F159" s="653" t="n"/>
      <c r="G159" s="653" t="n"/>
      <c r="H159" s="654" t="n"/>
      <c r="I159" s="676" t="inlineStr">
        <is>
          <t>放流</t>
        </is>
      </c>
      <c r="J159" s="684" t="n"/>
      <c r="K159" s="684" t="n"/>
      <c r="L159" s="684" t="n"/>
      <c r="M159" s="684" t="n"/>
      <c r="N159" s="684" t="n"/>
      <c r="O159" s="685" t="n"/>
      <c r="R159" s="651" t="n"/>
      <c r="S159" s="758" t="n"/>
      <c r="AC159" s="758" t="n"/>
      <c r="AD159" s="758" t="n"/>
      <c r="AE159" s="758" t="n"/>
    </row>
    <row r="160" ht="18" customHeight="1" s="614">
      <c r="A160" s="660" t="inlineStr">
        <is>
          <t>透視度</t>
        </is>
      </c>
      <c r="B160" s="639" t="n"/>
      <c r="C160" s="639" t="n"/>
      <c r="D160" s="639" t="n"/>
      <c r="E160" s="639" t="n"/>
      <c r="F160" s="640" t="n"/>
      <c r="G160" s="655" t="inlineStr">
        <is>
          <t>ｃｍ</t>
        </is>
      </c>
      <c r="H160" s="640" t="n"/>
      <c r="I160" s="662" t="inlineStr">
        <is>
          <t>流入水</t>
        </is>
      </c>
      <c r="J160" s="686" t="n"/>
      <c r="K160" s="686" t="n"/>
      <c r="L160" s="686" t="n"/>
      <c r="M160" s="686" t="n"/>
      <c r="N160" s="686" t="n"/>
      <c r="O160" s="687" t="n"/>
      <c r="P160" s="688" t="n"/>
      <c r="Q160" s="688" t="n"/>
      <c r="R160" s="689" t="n"/>
      <c r="S160" s="758" t="n"/>
      <c r="AC160" s="758" t="n"/>
      <c r="AD160" s="758" t="n"/>
      <c r="AE160" s="758" t="n"/>
    </row>
    <row r="161" ht="18" customHeight="1" s="614">
      <c r="A161" s="652" t="n"/>
      <c r="B161" s="653" t="n"/>
      <c r="C161" s="653" t="n"/>
      <c r="D161" s="653" t="n"/>
      <c r="E161" s="653" t="n"/>
      <c r="F161" s="654" t="n"/>
      <c r="G161" s="657" t="n"/>
      <c r="H161" s="654" t="n"/>
      <c r="I161" s="676" t="inlineStr">
        <is>
          <t>放流水</t>
        </is>
      </c>
      <c r="J161" s="690" t="n"/>
      <c r="K161" s="690" t="n"/>
      <c r="L161" s="690" t="n"/>
      <c r="M161" s="690" t="n"/>
      <c r="N161" s="690" t="n"/>
      <c r="O161" s="691" t="n"/>
      <c r="P161" s="692" t="n"/>
      <c r="Q161" s="692" t="n"/>
      <c r="R161" s="693" t="n"/>
      <c r="S161" s="758" t="n"/>
      <c r="T161" s="659" t="n"/>
      <c r="U161" s="694" t="n"/>
      <c r="V161" s="659" t="n"/>
      <c r="W161" s="659" t="n"/>
      <c r="X161" s="659" t="n"/>
      <c r="AC161" s="758" t="n"/>
      <c r="AD161" s="758" t="n"/>
      <c r="AE161" s="758" t="n"/>
    </row>
    <row r="162" ht="18" customHeight="1" s="614">
      <c r="A162" s="660" t="inlineStr">
        <is>
          <t>臭気</t>
        </is>
      </c>
      <c r="B162" s="640" t="n"/>
      <c r="C162" s="695" t="inlineStr">
        <is>
          <t>腐敗臭</t>
        </is>
      </c>
      <c r="D162" s="639" t="n"/>
      <c r="E162" s="639" t="n"/>
      <c r="F162" s="640" t="n"/>
      <c r="G162" s="655" t="inlineStr">
        <is>
          <t>有無</t>
        </is>
      </c>
      <c r="H162" s="640" t="n"/>
      <c r="I162" s="662" t="inlineStr">
        <is>
          <t>流入</t>
        </is>
      </c>
      <c r="J162" s="696" t="n"/>
      <c r="K162" s="696" t="n"/>
      <c r="L162" s="696" t="n"/>
      <c r="M162" s="696" t="n"/>
      <c r="N162" s="696" t="n"/>
      <c r="O162" s="681" t="n"/>
      <c r="P162" s="639" t="n"/>
      <c r="Q162" s="639" t="n"/>
      <c r="R162" s="665" t="n"/>
      <c r="S162" s="758" t="n"/>
      <c r="T162" s="697" t="n"/>
      <c r="U162" s="698" t="n"/>
      <c r="V162" s="698" t="n"/>
      <c r="W162" s="698" t="n"/>
      <c r="X162" s="698" t="n"/>
      <c r="Y162" s="698" t="n"/>
      <c r="AC162" s="758" t="n"/>
      <c r="AD162" s="758" t="n"/>
      <c r="AE162" s="758" t="n"/>
    </row>
    <row r="163" ht="18" customHeight="1" s="614">
      <c r="A163" s="667" t="n"/>
      <c r="B163" s="647" t="n"/>
      <c r="C163" s="668" t="n"/>
      <c r="F163" s="647" t="n"/>
      <c r="G163" s="668" t="n"/>
      <c r="H163" s="647" t="n"/>
      <c r="I163" s="669" t="inlineStr">
        <is>
          <t>ディッチ</t>
        </is>
      </c>
      <c r="J163" s="684" t="n"/>
      <c r="K163" s="684" t="n"/>
      <c r="L163" s="684" t="n"/>
      <c r="M163" s="684" t="n"/>
      <c r="N163" s="684" t="n"/>
      <c r="O163" s="683" t="n"/>
      <c r="P163" s="672" t="n"/>
      <c r="Q163" s="672" t="n"/>
      <c r="R163" s="673" t="n"/>
      <c r="S163" s="758" t="n"/>
      <c r="T163" s="697" t="n"/>
      <c r="U163" s="698" t="n"/>
      <c r="V163" s="698" t="n"/>
      <c r="W163" s="698" t="n"/>
      <c r="X163" s="698" t="n"/>
      <c r="Y163" s="698" t="n"/>
      <c r="AC163" s="758" t="n"/>
      <c r="AD163" s="758" t="n"/>
      <c r="AE163" s="758" t="n"/>
    </row>
    <row r="164" ht="18" customHeight="1" s="614">
      <c r="A164" s="652" t="n"/>
      <c r="B164" s="654" t="n"/>
      <c r="C164" s="657" t="n"/>
      <c r="D164" s="653" t="n"/>
      <c r="E164" s="653" t="n"/>
      <c r="F164" s="654" t="n"/>
      <c r="G164" s="657" t="n"/>
      <c r="H164" s="654" t="n"/>
      <c r="I164" s="676" t="inlineStr">
        <is>
          <t>放流</t>
        </is>
      </c>
      <c r="J164" s="699" t="n"/>
      <c r="K164" s="699" t="n"/>
      <c r="L164" s="699" t="n"/>
      <c r="M164" s="699" t="n"/>
      <c r="N164" s="699" t="n"/>
      <c r="O164" s="700" t="n"/>
      <c r="P164" s="701" t="n"/>
      <c r="Q164" s="701" t="n"/>
      <c r="R164" s="702" t="n"/>
      <c r="S164" s="758" t="n"/>
      <c r="U164" s="698" t="n"/>
      <c r="V164" s="698" t="n"/>
      <c r="W164" s="698" t="n"/>
      <c r="X164" s="698" t="n"/>
      <c r="Y164" s="698" t="n"/>
      <c r="AC164" s="758" t="n"/>
      <c r="AD164" s="758" t="n"/>
      <c r="AE164" s="758" t="n"/>
    </row>
    <row r="165" ht="18" customHeight="1" s="614">
      <c r="A165" s="703" t="inlineStr">
        <is>
          <t>PH</t>
        </is>
      </c>
      <c r="B165" s="639" t="n"/>
      <c r="C165" s="639" t="n"/>
      <c r="D165" s="639" t="n"/>
      <c r="E165" s="639" t="n"/>
      <c r="F165" s="640" t="n"/>
      <c r="G165" s="661" t="inlineStr">
        <is>
          <t>―</t>
        </is>
      </c>
      <c r="H165" s="640" t="n"/>
      <c r="I165" s="662" t="inlineStr">
        <is>
          <t>流入</t>
        </is>
      </c>
      <c r="J165" s="704" t="n"/>
      <c r="K165" s="704" t="n"/>
      <c r="L165" s="704" t="n"/>
      <c r="M165" s="704" t="n"/>
      <c r="N165" s="704" t="n"/>
      <c r="O165" s="705" t="n"/>
      <c r="P165" s="706" t="n"/>
      <c r="Q165" s="706" t="n"/>
      <c r="R165" s="707" t="n"/>
      <c r="S165" s="758" t="n"/>
      <c r="AC165" s="758" t="n"/>
      <c r="AD165" s="758" t="n"/>
      <c r="AE165" s="758" t="n"/>
    </row>
    <row r="166" ht="18" customHeight="1" s="614">
      <c r="A166" s="667" t="n"/>
      <c r="F166" s="647" t="n"/>
      <c r="G166" s="668" t="n"/>
      <c r="H166" s="647" t="n"/>
      <c r="I166" s="669" t="inlineStr">
        <is>
          <t>ディッチ</t>
        </is>
      </c>
      <c r="J166" s="708" t="n"/>
      <c r="K166" s="708" t="n"/>
      <c r="L166" s="708" t="n"/>
      <c r="M166" s="708" t="n"/>
      <c r="N166" s="708" t="n"/>
      <c r="O166" s="709" t="n"/>
      <c r="P166" s="701" t="n"/>
      <c r="Q166" s="701" t="n"/>
      <c r="R166" s="702" t="n"/>
      <c r="S166" s="758" t="n"/>
      <c r="AC166" s="758" t="n"/>
      <c r="AD166" s="758" t="n"/>
      <c r="AE166" s="758" t="n"/>
    </row>
    <row r="167" ht="18" customHeight="1" s="614">
      <c r="A167" s="652" t="n"/>
      <c r="B167" s="653" t="n"/>
      <c r="C167" s="653" t="n"/>
      <c r="D167" s="653" t="n"/>
      <c r="E167" s="653" t="n"/>
      <c r="F167" s="654" t="n"/>
      <c r="G167" s="657" t="n"/>
      <c r="H167" s="654" t="n"/>
      <c r="I167" s="676" t="inlineStr">
        <is>
          <t>放流</t>
        </is>
      </c>
      <c r="J167" s="710" t="n"/>
      <c r="K167" s="710" t="n"/>
      <c r="L167" s="710" t="n"/>
      <c r="M167" s="710" t="n"/>
      <c r="N167" s="710" t="n"/>
      <c r="O167" s="711" t="n"/>
      <c r="P167" s="692" t="n"/>
      <c r="Q167" s="692" t="n"/>
      <c r="R167" s="693" t="n"/>
      <c r="S167" s="758" t="n"/>
      <c r="T167" s="712" t="n"/>
      <c r="AC167" s="758" t="n"/>
      <c r="AD167" s="758" t="n"/>
      <c r="AE167" s="758" t="n"/>
    </row>
    <row r="168" ht="18" customHeight="1" s="614">
      <c r="A168" s="713" t="inlineStr">
        <is>
          <t>SV</t>
        </is>
      </c>
      <c r="B168" s="640" t="n"/>
      <c r="C168" s="714" t="inlineStr">
        <is>
          <t>SV・10</t>
        </is>
      </c>
      <c r="D168" s="626" t="n"/>
      <c r="E168" s="626" t="n"/>
      <c r="F168" s="627" t="n"/>
      <c r="G168" s="655" t="inlineStr">
        <is>
          <t>％</t>
        </is>
      </c>
      <c r="H168" s="640" t="n"/>
      <c r="I168" s="715" t="inlineStr">
        <is>
          <t>ディッチ</t>
        </is>
      </c>
      <c r="J168" s="716" t="n"/>
      <c r="K168" s="716" t="n"/>
      <c r="L168" s="716" t="n"/>
      <c r="M168" s="716" t="n"/>
      <c r="N168" s="716" t="n"/>
      <c r="O168" s="717" t="n"/>
      <c r="P168" s="639" t="n"/>
      <c r="Q168" s="639" t="n"/>
      <c r="R168" s="665" t="n"/>
      <c r="S168" s="758" t="n"/>
      <c r="T168" s="712" t="n"/>
      <c r="AC168" s="758" t="n"/>
      <c r="AD168" s="758" t="n"/>
      <c r="AE168" s="758" t="n"/>
    </row>
    <row r="169" ht="18" customHeight="1" s="614">
      <c r="A169" s="667" t="n"/>
      <c r="B169" s="647" t="n"/>
      <c r="C169" s="714" t="inlineStr">
        <is>
          <t>SV・20</t>
        </is>
      </c>
      <c r="D169" s="626" t="n"/>
      <c r="E169" s="626" t="n"/>
      <c r="F169" s="627" t="n"/>
      <c r="G169" s="668" t="n"/>
      <c r="H169" s="647" t="n"/>
      <c r="I169" s="668" t="n"/>
      <c r="J169" s="718" t="n"/>
      <c r="K169" s="718" t="n"/>
      <c r="L169" s="718" t="n"/>
      <c r="M169" s="718" t="n"/>
      <c r="N169" s="718" t="n"/>
      <c r="O169" s="671" t="n"/>
      <c r="P169" s="672" t="n"/>
      <c r="Q169" s="672" t="n"/>
      <c r="R169" s="673" t="n"/>
      <c r="S169" s="758" t="n"/>
      <c r="T169" s="659" t="n"/>
      <c r="AC169" s="758" t="n"/>
      <c r="AD169" s="758" t="n"/>
      <c r="AE169" s="758" t="n"/>
    </row>
    <row r="170" ht="18" customHeight="1" s="614">
      <c r="A170" s="667" t="n"/>
      <c r="B170" s="647" t="n"/>
      <c r="C170" s="714" t="inlineStr">
        <is>
          <t>SV・30</t>
        </is>
      </c>
      <c r="D170" s="626" t="n"/>
      <c r="E170" s="626" t="n"/>
      <c r="F170" s="627" t="n"/>
      <c r="G170" s="668" t="n"/>
      <c r="H170" s="647" t="n"/>
      <c r="I170" s="668" t="n"/>
      <c r="J170" s="719" t="n"/>
      <c r="K170" s="719" t="n"/>
      <c r="L170" s="719" t="n"/>
      <c r="M170" s="719" t="n"/>
      <c r="N170" s="719" t="n"/>
      <c r="O170" s="671" t="n"/>
      <c r="P170" s="672" t="n"/>
      <c r="Q170" s="672" t="n"/>
      <c r="R170" s="673" t="n"/>
      <c r="S170" s="758" t="n"/>
      <c r="T170" s="659" t="n"/>
      <c r="AC170" s="758" t="n"/>
      <c r="AD170" s="758" t="n"/>
      <c r="AE170" s="758" t="n"/>
    </row>
    <row r="171" ht="18" customHeight="1" s="614">
      <c r="A171" s="652" t="n"/>
      <c r="B171" s="654" t="n"/>
      <c r="C171" s="714" t="inlineStr">
        <is>
          <t>SV・24h</t>
        </is>
      </c>
      <c r="D171" s="626" t="n"/>
      <c r="E171" s="626" t="n"/>
      <c r="F171" s="627" t="n"/>
      <c r="G171" s="657" t="n"/>
      <c r="H171" s="654" t="n"/>
      <c r="I171" s="657" t="n"/>
      <c r="J171" s="720" t="n"/>
      <c r="K171" s="720" t="n"/>
      <c r="L171" s="720" t="n"/>
      <c r="M171" s="720" t="n"/>
      <c r="N171" s="720" t="n"/>
      <c r="O171" s="721" t="n"/>
      <c r="P171" s="701" t="n"/>
      <c r="Q171" s="701" t="n"/>
      <c r="R171" s="702" t="n"/>
      <c r="S171" s="758" t="n"/>
      <c r="AC171" s="758" t="n"/>
      <c r="AD171" s="758" t="n"/>
      <c r="AE171" s="758" t="n"/>
    </row>
    <row r="172" ht="18" customHeight="1" s="614">
      <c r="A172" s="713" t="inlineStr">
        <is>
          <t>MLSS</t>
        </is>
      </c>
      <c r="B172" s="626" t="n"/>
      <c r="C172" s="626" t="n"/>
      <c r="D172" s="626" t="n"/>
      <c r="E172" s="626" t="n"/>
      <c r="F172" s="627" t="n"/>
      <c r="G172" s="655" t="inlineStr">
        <is>
          <t>㎎/ℓ</t>
        </is>
      </c>
      <c r="H172" s="627" t="n"/>
      <c r="I172" s="722" t="inlineStr">
        <is>
          <t>ディッチ</t>
        </is>
      </c>
      <c r="J172" s="720" t="n"/>
      <c r="K172" s="720" t="n"/>
      <c r="L172" s="720" t="n"/>
      <c r="M172" s="720" t="n"/>
      <c r="N172" s="723" t="n"/>
      <c r="O172" s="687" t="n"/>
      <c r="P172" s="688" t="n"/>
      <c r="Q172" s="688" t="n"/>
      <c r="R172" s="689" t="n"/>
      <c r="S172" s="758" t="n"/>
      <c r="AC172" s="758" t="n"/>
      <c r="AD172" s="758" t="n"/>
      <c r="AE172" s="758" t="n"/>
    </row>
    <row r="173" ht="18" customHeight="1" s="614">
      <c r="A173" s="660" t="inlineStr">
        <is>
          <t>汚泥界面</t>
        </is>
      </c>
      <c r="B173" s="626" t="n"/>
      <c r="C173" s="626" t="n"/>
      <c r="D173" s="626" t="n"/>
      <c r="E173" s="626" t="n"/>
      <c r="F173" s="627" t="n"/>
      <c r="G173" s="655" t="inlineStr">
        <is>
          <t>ｃｍ</t>
        </is>
      </c>
      <c r="H173" s="627" t="n"/>
      <c r="I173" s="724" t="inlineStr">
        <is>
          <t>終沈</t>
        </is>
      </c>
      <c r="J173" s="723" t="n"/>
      <c r="K173" s="723" t="n"/>
      <c r="L173" s="723" t="n"/>
      <c r="M173" s="723" t="n"/>
      <c r="N173" s="725" t="n"/>
      <c r="O173" s="726" t="n"/>
      <c r="P173" s="688" t="n"/>
      <c r="Q173" s="688" t="n"/>
      <c r="R173" s="689" t="n"/>
      <c r="S173" s="758" t="n"/>
      <c r="AC173" s="758" t="n"/>
      <c r="AD173" s="758" t="n"/>
      <c r="AE173" s="758" t="n"/>
    </row>
    <row r="174" ht="18" customHeight="1" s="614">
      <c r="A174" s="660" t="inlineStr">
        <is>
          <t>残留塩素</t>
        </is>
      </c>
      <c r="B174" s="626" t="n"/>
      <c r="C174" s="626" t="n"/>
      <c r="D174" s="626" t="n"/>
      <c r="E174" s="626" t="n"/>
      <c r="F174" s="627" t="n"/>
      <c r="G174" s="655" t="inlineStr">
        <is>
          <t>㎎/ℓ</t>
        </is>
      </c>
      <c r="H174" s="627" t="n"/>
      <c r="I174" s="722" t="inlineStr">
        <is>
          <t>放流水</t>
        </is>
      </c>
      <c r="J174" s="727" t="n"/>
      <c r="K174" s="727" t="n"/>
      <c r="L174" s="727" t="n"/>
      <c r="M174" s="727" t="n"/>
      <c r="N174" s="727" t="n"/>
      <c r="O174" s="687" t="n"/>
      <c r="P174" s="688" t="n"/>
      <c r="Q174" s="688" t="n"/>
      <c r="R174" s="689" t="n"/>
      <c r="S174" s="758" t="n"/>
      <c r="AC174" s="758" t="n"/>
      <c r="AD174" s="758" t="n"/>
      <c r="AE174" s="758" t="n"/>
    </row>
    <row r="175" ht="18" customHeight="1" s="614">
      <c r="A175" s="625" t="inlineStr">
        <is>
          <t>塩素投入量</t>
        </is>
      </c>
      <c r="B175" s="626" t="n"/>
      <c r="C175" s="626" t="n"/>
      <c r="D175" s="626" t="n"/>
      <c r="E175" s="626" t="n"/>
      <c r="F175" s="627" t="n"/>
      <c r="G175" s="728" t="inlineStr">
        <is>
          <t>kg</t>
        </is>
      </c>
      <c r="H175" s="640" t="n"/>
      <c r="I175" s="729" t="inlineStr">
        <is>
          <t>塩素混和池</t>
        </is>
      </c>
      <c r="J175" s="730" t="n"/>
      <c r="K175" s="730" t="n"/>
      <c r="L175" s="730" t="n"/>
      <c r="M175" s="730" t="n"/>
      <c r="N175" s="730" t="n"/>
      <c r="O175" s="731" t="n"/>
      <c r="P175" s="626" t="n"/>
      <c r="Q175" s="626" t="n"/>
      <c r="R175" s="631" t="n"/>
      <c r="S175" s="758" t="n"/>
      <c r="AC175" s="758" t="n"/>
      <c r="AD175" s="758" t="n"/>
      <c r="AE175" s="758" t="n"/>
    </row>
    <row r="176" ht="18" customHeight="1" s="614">
      <c r="A176" s="732" t="inlineStr">
        <is>
          <t xml:space="preserve">　備　　考</t>
        </is>
      </c>
      <c r="G176" s="733" t="n"/>
      <c r="H176" s="639" t="n"/>
      <c r="I176" s="734" t="n"/>
      <c r="J176" s="735" t="n"/>
      <c r="K176" s="735" t="n"/>
      <c r="L176" s="735" t="n"/>
      <c r="M176" s="735" t="n"/>
      <c r="N176" s="736" t="n"/>
      <c r="O176" s="737" t="n"/>
      <c r="P176" s="639" t="n"/>
      <c r="Q176" s="639" t="n"/>
      <c r="R176" s="665" t="n"/>
      <c r="S176" s="758" t="n"/>
      <c r="AC176" s="758" t="n"/>
      <c r="AD176" s="758" t="n"/>
      <c r="AE176" s="758" t="n"/>
    </row>
    <row r="177" ht="18" customHeight="1" s="614">
      <c r="A177" s="738" t="n"/>
      <c r="R177" s="651" t="n"/>
      <c r="S177" s="758" t="n"/>
      <c r="AC177" s="758" t="n"/>
      <c r="AD177" s="758" t="n"/>
      <c r="AE177" s="758" t="n"/>
    </row>
    <row r="178" ht="18" customHeight="1" s="614">
      <c r="A178" s="667" t="n"/>
      <c r="R178" s="651" t="n"/>
      <c r="S178" s="758" t="n"/>
      <c r="AC178" s="758" t="n"/>
      <c r="AD178" s="758" t="n"/>
      <c r="AE178" s="758" t="n"/>
    </row>
    <row r="179" ht="18" customHeight="1" s="614">
      <c r="A179" s="667" t="n"/>
      <c r="R179" s="651" t="n"/>
      <c r="S179" s="758" t="n"/>
      <c r="AC179" s="758" t="n"/>
      <c r="AD179" s="758" t="n"/>
      <c r="AE179" s="758" t="n"/>
    </row>
    <row r="180" ht="18" customHeight="1" s="614">
      <c r="A180" s="667" t="n"/>
      <c r="R180" s="651" t="n"/>
      <c r="S180" s="758" t="n"/>
      <c r="AC180" s="758" t="n"/>
      <c r="AD180" s="758" t="n"/>
      <c r="AE180" s="758" t="n"/>
    </row>
    <row r="181" ht="18" customHeight="1" s="614">
      <c r="A181" s="667" t="n"/>
      <c r="R181" s="651" t="n"/>
      <c r="S181" s="758" t="n"/>
      <c r="AC181" s="758" t="n"/>
      <c r="AD181" s="758" t="n"/>
      <c r="AE181" s="758" t="n"/>
    </row>
    <row r="182" ht="18" customHeight="1" s="614">
      <c r="A182" s="667" t="n"/>
      <c r="R182" s="651" t="n"/>
      <c r="S182" s="758" t="n"/>
      <c r="AC182" s="758" t="n"/>
      <c r="AD182" s="758" t="n"/>
      <c r="AE182" s="758" t="n"/>
    </row>
    <row r="183" ht="18" customHeight="1" s="614">
      <c r="A183" s="667" t="n"/>
      <c r="R183" s="651" t="n"/>
      <c r="S183" s="758" t="n"/>
      <c r="AC183" s="758" t="n"/>
      <c r="AD183" s="758" t="n"/>
      <c r="AE183" s="758" t="n"/>
    </row>
    <row r="184" ht="18" customHeight="1" s="614">
      <c r="A184" s="739" t="n"/>
      <c r="B184" s="618" t="n"/>
      <c r="C184" s="618" t="n"/>
      <c r="D184" s="618" t="n"/>
      <c r="E184" s="618" t="n"/>
      <c r="F184" s="618" t="n"/>
      <c r="G184" s="618" t="n"/>
      <c r="H184" s="618" t="n"/>
      <c r="I184" s="618" t="n"/>
      <c r="J184" s="618" t="n"/>
      <c r="K184" s="618" t="n"/>
      <c r="L184" s="618" t="n"/>
      <c r="M184" s="618" t="n"/>
      <c r="N184" s="618" t="n"/>
      <c r="O184" s="618" t="n"/>
      <c r="P184" s="618" t="n"/>
      <c r="Q184" s="618" t="n"/>
      <c r="R184" s="740" t="n"/>
      <c r="S184" s="758" t="n"/>
      <c r="AC184" s="758" t="n"/>
      <c r="AD184" s="758" t="n"/>
      <c r="AE184" s="758" t="n"/>
    </row>
    <row r="185" ht="29.25" customHeight="1" s="614">
      <c r="A185" s="615" t="inlineStr">
        <is>
          <t>加計浄化センター維持管理週報</t>
        </is>
      </c>
      <c r="M185" s="758" t="n"/>
      <c r="N185" s="758" t="n"/>
      <c r="O185" s="758" t="n"/>
      <c r="P185" s="758" t="n"/>
      <c r="Q185" s="758" t="n"/>
      <c r="R185" s="758" t="n"/>
      <c r="S185" s="758" t="n"/>
      <c r="AC185" s="758" t="n"/>
      <c r="AD185" s="758" t="n"/>
      <c r="AE185" s="758" t="n"/>
    </row>
    <row r="186" ht="15" customHeight="1" s="614">
      <c r="A186" s="618" t="n"/>
      <c r="B186" s="618" t="n"/>
      <c r="C186" s="618" t="n"/>
      <c r="D186" s="618" t="n"/>
      <c r="E186" s="618" t="n"/>
      <c r="F186" s="618" t="n"/>
      <c r="G186" s="618" t="n"/>
      <c r="H186" s="618" t="n"/>
      <c r="I186" s="618" t="n"/>
      <c r="J186" s="618" t="n"/>
      <c r="K186" s="618" t="n"/>
      <c r="L186" s="618" t="n"/>
      <c r="M186" s="758" t="n"/>
      <c r="N186" s="758" t="n"/>
      <c r="O186" s="758" t="n"/>
      <c r="P186" s="758" t="n"/>
      <c r="Q186" s="758" t="n"/>
      <c r="R186" s="758" t="n"/>
      <c r="S186" s="758" t="n"/>
      <c r="AC186" s="758" t="n"/>
      <c r="AD186" s="758" t="n"/>
      <c r="AE186" s="758" t="n"/>
    </row>
    <row r="187" ht="18" customHeight="1" s="614">
      <c r="A187" s="619" t="n"/>
      <c r="B187" s="620" t="n"/>
      <c r="C187" s="620" t="n"/>
      <c r="D187" s="620" t="n"/>
      <c r="E187" s="620" t="n"/>
      <c r="F187" s="620" t="n"/>
      <c r="G187" s="620" t="n"/>
      <c r="H187" s="621" t="n"/>
      <c r="I187" s="622" t="n"/>
      <c r="J187" s="622" t="n"/>
      <c r="K187" s="622" t="n"/>
      <c r="L187" s="622" t="n"/>
      <c r="M187" s="622" t="n"/>
      <c r="N187" s="622" t="n"/>
      <c r="O187" s="623" t="inlineStr">
        <is>
          <t>平均</t>
        </is>
      </c>
      <c r="P187" s="620" t="n"/>
      <c r="Q187" s="620" t="n"/>
      <c r="R187" s="624" t="n"/>
      <c r="S187" s="758" t="n"/>
      <c r="V187" s="659" t="n"/>
      <c r="AC187" s="758" t="n"/>
      <c r="AD187" s="758" t="n"/>
      <c r="AE187" s="758" t="n"/>
    </row>
    <row r="188" ht="18" customHeight="1" s="614">
      <c r="A188" s="625" t="inlineStr">
        <is>
          <t>全日電力量</t>
        </is>
      </c>
      <c r="B188" s="626" t="n"/>
      <c r="C188" s="626" t="n"/>
      <c r="D188" s="626" t="n"/>
      <c r="E188" s="626" t="n"/>
      <c r="F188" s="627" t="n"/>
      <c r="G188" s="628" t="inlineStr">
        <is>
          <t>Kｗｈ</t>
        </is>
      </c>
      <c r="H188" s="627" t="n"/>
      <c r="I188" s="629" t="n"/>
      <c r="J188" s="629" t="n"/>
      <c r="K188" s="629" t="n"/>
      <c r="L188" s="629" t="n"/>
      <c r="M188" s="629" t="n"/>
      <c r="N188" s="629" t="n"/>
      <c r="O188" s="742" t="n"/>
      <c r="P188" s="626" t="n"/>
      <c r="Q188" s="626" t="n"/>
      <c r="R188" s="631" t="n"/>
      <c r="S188" s="758" t="n"/>
      <c r="AC188" s="758" t="n"/>
      <c r="AD188" s="758" t="n"/>
      <c r="AE188" s="758" t="n"/>
    </row>
    <row r="189" ht="18" customHeight="1" s="614">
      <c r="A189" s="625" t="inlineStr">
        <is>
          <t>力測電力量</t>
        </is>
      </c>
      <c r="B189" s="626" t="n"/>
      <c r="C189" s="626" t="n"/>
      <c r="D189" s="626" t="n"/>
      <c r="E189" s="626" t="n"/>
      <c r="F189" s="627" t="n"/>
      <c r="G189" s="628" t="inlineStr">
        <is>
          <t>Kｗｈ</t>
        </is>
      </c>
      <c r="H189" s="627" t="n"/>
      <c r="I189" s="629" t="n"/>
      <c r="J189" s="629" t="n"/>
      <c r="K189" s="629" t="n"/>
      <c r="L189" s="629" t="n"/>
      <c r="M189" s="629" t="n"/>
      <c r="N189" s="629" t="n"/>
      <c r="O189" s="742" t="n"/>
      <c r="P189" s="626" t="n"/>
      <c r="Q189" s="626" t="n"/>
      <c r="R189" s="631" t="n"/>
      <c r="S189" s="758" t="n"/>
      <c r="AC189" s="758" t="n"/>
      <c r="AD189" s="758" t="n"/>
      <c r="AE189" s="758" t="n"/>
    </row>
    <row r="190" ht="18" customHeight="1" s="614">
      <c r="A190" s="625" t="inlineStr">
        <is>
          <t>無効電力量</t>
        </is>
      </c>
      <c r="B190" s="626" t="n"/>
      <c r="C190" s="626" t="n"/>
      <c r="D190" s="626" t="n"/>
      <c r="E190" s="626" t="n"/>
      <c r="F190" s="627" t="n"/>
      <c r="G190" s="628" t="inlineStr">
        <is>
          <t>Kvar</t>
        </is>
      </c>
      <c r="H190" s="627" t="n"/>
      <c r="I190" s="629" t="n"/>
      <c r="J190" s="629" t="n"/>
      <c r="K190" s="629" t="n"/>
      <c r="L190" s="629" t="n"/>
      <c r="M190" s="629" t="n"/>
      <c r="N190" s="629" t="n"/>
      <c r="O190" s="755" t="n"/>
      <c r="P190" s="626" t="n"/>
      <c r="Q190" s="626" t="n"/>
      <c r="R190" s="631" t="n"/>
      <c r="S190" s="758" t="n"/>
      <c r="AC190" s="758" t="n"/>
      <c r="AD190" s="758" t="n"/>
      <c r="AE190" s="758" t="n"/>
    </row>
    <row r="191" ht="18" customHeight="1" s="614">
      <c r="A191" s="625" t="inlineStr">
        <is>
          <t>デマンド</t>
        </is>
      </c>
      <c r="B191" s="626" t="n"/>
      <c r="C191" s="626" t="n"/>
      <c r="D191" s="626" t="n"/>
      <c r="E191" s="626" t="n"/>
      <c r="F191" s="627" t="n"/>
      <c r="G191" s="628" t="inlineStr">
        <is>
          <t>Kw</t>
        </is>
      </c>
      <c r="H191" s="627" t="n"/>
      <c r="I191" s="629" t="n"/>
      <c r="J191" s="629" t="n"/>
      <c r="K191" s="629" t="n"/>
      <c r="L191" s="629" t="n"/>
      <c r="M191" s="629" t="n"/>
      <c r="N191" s="629" t="n"/>
      <c r="O191" s="762" t="n"/>
      <c r="P191" s="626" t="n"/>
      <c r="Q191" s="626" t="n"/>
      <c r="R191" s="631" t="n"/>
      <c r="S191" s="758" t="n"/>
      <c r="AC191" s="758" t="n"/>
      <c r="AD191" s="758" t="n"/>
      <c r="AE191" s="758" t="n"/>
    </row>
    <row r="192" ht="18" customHeight="1" s="614">
      <c r="A192" s="625" t="inlineStr">
        <is>
          <t>水道使用量</t>
        </is>
      </c>
      <c r="B192" s="626" t="n"/>
      <c r="C192" s="626" t="n"/>
      <c r="D192" s="626" t="n"/>
      <c r="E192" s="626" t="n"/>
      <c r="F192" s="627" t="n"/>
      <c r="G192" s="635" t="inlineStr">
        <is>
          <t>㎥</t>
        </is>
      </c>
      <c r="H192" s="627" t="n"/>
      <c r="I192" s="629" t="n"/>
      <c r="J192" s="629" t="n"/>
      <c r="K192" s="629" t="n"/>
      <c r="L192" s="629" t="n"/>
      <c r="M192" s="629" t="n"/>
      <c r="N192" s="629" t="n"/>
      <c r="O192" s="742" t="n"/>
      <c r="P192" s="626" t="n"/>
      <c r="Q192" s="626" t="n"/>
      <c r="R192" s="631" t="n"/>
      <c r="S192" s="758" t="n"/>
      <c r="AC192" s="758" t="n"/>
      <c r="AD192" s="758" t="n"/>
      <c r="AE192" s="758" t="n"/>
    </row>
    <row r="193" ht="18" customHeight="1" s="614">
      <c r="A193" s="625" t="inlineStr">
        <is>
          <t>軽油(残量)</t>
        </is>
      </c>
      <c r="B193" s="626" t="n"/>
      <c r="C193" s="626" t="n"/>
      <c r="D193" s="626" t="n"/>
      <c r="E193" s="626" t="n"/>
      <c r="F193" s="627" t="n"/>
      <c r="G193" s="628" t="inlineStr">
        <is>
          <t>ℓ</t>
        </is>
      </c>
      <c r="H193" s="627" t="n"/>
      <c r="I193" s="636" t="n"/>
      <c r="J193" s="636" t="n"/>
      <c r="K193" s="636" t="n"/>
      <c r="L193" s="636" t="n"/>
      <c r="M193" s="636" t="n"/>
      <c r="N193" s="636" t="n"/>
      <c r="O193" s="742" t="n"/>
      <c r="P193" s="626" t="n"/>
      <c r="Q193" s="626" t="n"/>
      <c r="R193" s="631" t="n"/>
      <c r="S193" s="758" t="n"/>
      <c r="AC193" s="758" t="n"/>
      <c r="AD193" s="758" t="n"/>
      <c r="AE193" s="758" t="n"/>
    </row>
    <row r="194" ht="18" customHeight="1" s="614">
      <c r="A194" s="625" t="inlineStr">
        <is>
          <t>返送汚泥流量</t>
        </is>
      </c>
      <c r="B194" s="626" t="n"/>
      <c r="C194" s="626" t="n"/>
      <c r="D194" s="626" t="n"/>
      <c r="E194" s="626" t="n"/>
      <c r="F194" s="627" t="n"/>
      <c r="G194" s="635" t="inlineStr">
        <is>
          <t>㎥</t>
        </is>
      </c>
      <c r="H194" s="627" t="n"/>
      <c r="I194" s="636" t="n"/>
      <c r="J194" s="636" t="n"/>
      <c r="K194" s="636" t="n"/>
      <c r="L194" s="636" t="n"/>
      <c r="M194" s="636" t="n"/>
      <c r="N194" s="636" t="n"/>
      <c r="O194" s="742" t="n"/>
      <c r="P194" s="626" t="n"/>
      <c r="Q194" s="626" t="n"/>
      <c r="R194" s="631" t="n"/>
      <c r="S194" s="758" t="n"/>
      <c r="AC194" s="758" t="n"/>
      <c r="AD194" s="758" t="n"/>
      <c r="AE194" s="758" t="n"/>
    </row>
    <row r="195" ht="18" customHeight="1" s="614">
      <c r="A195" s="625" t="inlineStr">
        <is>
          <t>余剰汚泥流量</t>
        </is>
      </c>
      <c r="B195" s="626" t="n"/>
      <c r="C195" s="626" t="n"/>
      <c r="D195" s="626" t="n"/>
      <c r="E195" s="626" t="n"/>
      <c r="F195" s="627" t="n"/>
      <c r="G195" s="635" t="inlineStr">
        <is>
          <t>㎥</t>
        </is>
      </c>
      <c r="H195" s="627" t="n"/>
      <c r="I195" s="637" t="n"/>
      <c r="J195" s="637" t="n"/>
      <c r="K195" s="637" t="n"/>
      <c r="L195" s="637" t="n"/>
      <c r="M195" s="637" t="n"/>
      <c r="N195" s="637" t="n"/>
      <c r="O195" s="742" t="n"/>
      <c r="P195" s="626" t="n"/>
      <c r="Q195" s="626" t="n"/>
      <c r="R195" s="631" t="n"/>
      <c r="S195" s="758" t="n"/>
      <c r="AC195" s="758" t="n"/>
      <c r="AD195" s="758" t="n"/>
      <c r="AE195" s="758" t="n"/>
    </row>
    <row r="196" ht="18" customHeight="1" s="614">
      <c r="A196" s="638" t="inlineStr">
        <is>
          <t>放流流量</t>
        </is>
      </c>
      <c r="B196" s="639" t="n"/>
      <c r="C196" s="639" t="n"/>
      <c r="D196" s="639" t="n"/>
      <c r="E196" s="639" t="n"/>
      <c r="F196" s="640" t="n"/>
      <c r="G196" s="641" t="inlineStr">
        <is>
          <t>㎥</t>
        </is>
      </c>
      <c r="H196" s="640" t="n"/>
      <c r="I196" s="636" t="n"/>
      <c r="J196" s="642" t="n"/>
      <c r="K196" s="642" t="n"/>
      <c r="L196" s="642" t="n"/>
      <c r="M196" s="642" t="n"/>
      <c r="N196" s="642" t="n"/>
      <c r="O196" s="742" t="n"/>
      <c r="P196" s="626" t="n"/>
      <c r="Q196" s="626" t="n"/>
      <c r="R196" s="631" t="n"/>
      <c r="S196" s="758" t="n"/>
      <c r="AC196" s="758" t="n"/>
      <c r="AD196" s="758" t="n"/>
      <c r="AE196" s="758" t="n"/>
    </row>
    <row r="197" ht="45" customHeight="1" s="614">
      <c r="A197" s="643" t="inlineStr">
        <is>
          <t>日 常 水 質 測 定 結 果</t>
        </is>
      </c>
      <c r="B197" s="644" t="n"/>
      <c r="C197" s="644" t="n"/>
      <c r="D197" s="644" t="n"/>
      <c r="E197" s="644" t="n"/>
      <c r="F197" s="644" t="n"/>
      <c r="G197" s="644" t="n"/>
      <c r="H197" s="644" t="n"/>
      <c r="I197" s="644" t="n"/>
      <c r="J197" s="644" t="n"/>
      <c r="K197" s="644" t="n"/>
      <c r="L197" s="644" t="n"/>
      <c r="M197" s="644" t="n"/>
      <c r="N197" s="644" t="n"/>
      <c r="O197" s="644" t="n"/>
      <c r="P197" s="644" t="n"/>
      <c r="Q197" s="644" t="n"/>
      <c r="R197" s="645" t="n"/>
      <c r="S197" s="758" t="n"/>
      <c r="AC197" s="758" t="n"/>
      <c r="AD197" s="758" t="n"/>
      <c r="AE197" s="758" t="n"/>
    </row>
    <row r="198" ht="18" customHeight="1" s="614">
      <c r="A198" s="646" t="inlineStr">
        <is>
          <t>測 定 項 目</t>
        </is>
      </c>
      <c r="H198" s="647" t="n"/>
      <c r="I198" s="648" t="inlineStr">
        <is>
          <t>測定日</t>
        </is>
      </c>
      <c r="J198" s="649" t="n"/>
      <c r="K198" s="649" t="n"/>
      <c r="L198" s="649" t="n"/>
      <c r="M198" s="649" t="n"/>
      <c r="N198" s="649" t="n"/>
      <c r="O198" s="650">
        <f>O187</f>
        <v/>
      </c>
      <c r="R198" s="651" t="n"/>
      <c r="S198" s="758" t="n"/>
      <c r="AC198" s="758" t="n"/>
      <c r="AD198" s="758" t="n"/>
      <c r="AE198" s="758" t="n"/>
    </row>
    <row r="199" ht="18" customHeight="1" s="614">
      <c r="A199" s="652" t="n"/>
      <c r="B199" s="653" t="n"/>
      <c r="C199" s="653" t="n"/>
      <c r="D199" s="653" t="n"/>
      <c r="E199" s="653" t="n"/>
      <c r="F199" s="653" t="n"/>
      <c r="G199" s="653" t="n"/>
      <c r="H199" s="654" t="n"/>
      <c r="I199" s="655" t="inlineStr">
        <is>
          <t>測定者</t>
        </is>
      </c>
      <c r="J199" s="656" t="n"/>
      <c r="K199" s="656" t="n"/>
      <c r="L199" s="656" t="n"/>
      <c r="M199" s="656" t="n"/>
      <c r="N199" s="656" t="n"/>
      <c r="O199" s="657" t="n"/>
      <c r="P199" s="653" t="n"/>
      <c r="Q199" s="653" t="n"/>
      <c r="R199" s="658" t="n"/>
      <c r="S199" s="758" t="n"/>
      <c r="AC199" s="758" t="n"/>
      <c r="AD199" s="758" t="n"/>
      <c r="AE199" s="758" t="n"/>
    </row>
    <row r="200" ht="18" customHeight="1" s="614">
      <c r="A200" s="660" t="inlineStr">
        <is>
          <t xml:space="preserve">水温　　　　　</t>
        </is>
      </c>
      <c r="B200" s="639" t="n"/>
      <c r="C200" s="639" t="n"/>
      <c r="D200" s="639" t="n"/>
      <c r="E200" s="639" t="n"/>
      <c r="F200" s="640" t="n"/>
      <c r="G200" s="661" t="inlineStr">
        <is>
          <t>℃</t>
        </is>
      </c>
      <c r="H200" s="640" t="n"/>
      <c r="I200" s="662" t="inlineStr">
        <is>
          <t>流入</t>
        </is>
      </c>
      <c r="J200" s="663" t="n"/>
      <c r="K200" s="663" t="n"/>
      <c r="L200" s="663" t="n"/>
      <c r="M200" s="663" t="n"/>
      <c r="N200" s="663" t="n"/>
      <c r="O200" s="664" t="n"/>
      <c r="P200" s="639" t="n"/>
      <c r="Q200" s="639" t="n"/>
      <c r="R200" s="665" t="n"/>
      <c r="S200" s="666" t="n"/>
      <c r="AC200" s="758" t="n"/>
      <c r="AD200" s="758" t="n"/>
      <c r="AE200" s="758" t="n"/>
    </row>
    <row r="201" ht="18" customHeight="1" s="614">
      <c r="A201" s="667" t="n"/>
      <c r="F201" s="647" t="n"/>
      <c r="G201" s="668" t="n"/>
      <c r="H201" s="647" t="n"/>
      <c r="I201" s="669" t="inlineStr">
        <is>
          <t>ディッチ</t>
        </is>
      </c>
      <c r="J201" s="670" t="n"/>
      <c r="K201" s="670" t="n"/>
      <c r="L201" s="670" t="n"/>
      <c r="M201" s="670" t="n"/>
      <c r="N201" s="670" t="n"/>
      <c r="O201" s="671" t="n"/>
      <c r="P201" s="672" t="n"/>
      <c r="Q201" s="672" t="n"/>
      <c r="R201" s="673" t="n"/>
      <c r="S201" s="674" t="n"/>
      <c r="T201" s="675" t="n"/>
      <c r="AC201" s="758" t="n"/>
      <c r="AD201" s="758" t="n"/>
      <c r="AE201" s="758" t="n"/>
    </row>
    <row r="202" ht="18" customHeight="1" s="614">
      <c r="A202" s="652" t="n"/>
      <c r="B202" s="653" t="n"/>
      <c r="C202" s="653" t="n"/>
      <c r="D202" s="653" t="n"/>
      <c r="E202" s="653" t="n"/>
      <c r="F202" s="654" t="n"/>
      <c r="G202" s="657" t="n"/>
      <c r="H202" s="654" t="n"/>
      <c r="I202" s="676" t="inlineStr">
        <is>
          <t>放流</t>
        </is>
      </c>
      <c r="J202" s="677" t="n"/>
      <c r="K202" s="677" t="n"/>
      <c r="L202" s="677" t="n"/>
      <c r="M202" s="677" t="n"/>
      <c r="N202" s="677" t="n"/>
      <c r="O202" s="678" t="n"/>
      <c r="P202" s="653" t="n"/>
      <c r="Q202" s="653" t="n"/>
      <c r="R202" s="658" t="n"/>
      <c r="S202" s="674" t="n"/>
      <c r="AC202" s="758" t="n"/>
      <c r="AD202" s="758" t="n"/>
      <c r="AE202" s="758" t="n"/>
    </row>
    <row r="203" ht="18" customHeight="1" s="614">
      <c r="A203" s="660" t="inlineStr">
        <is>
          <t>外観</t>
        </is>
      </c>
      <c r="B203" s="640" t="n"/>
      <c r="C203" s="761" t="inlineStr">
        <is>
          <t>油膜・色合</t>
        </is>
      </c>
      <c r="D203" s="639" t="n"/>
      <c r="E203" s="639" t="n"/>
      <c r="F203" s="639" t="n"/>
      <c r="G203" s="639" t="n"/>
      <c r="H203" s="640" t="n"/>
      <c r="I203" s="662" t="inlineStr">
        <is>
          <t>流入</t>
        </is>
      </c>
      <c r="J203" s="680" t="n"/>
      <c r="K203" s="680" t="n"/>
      <c r="L203" s="680" t="n"/>
      <c r="M203" s="680" t="n"/>
      <c r="N203" s="680" t="n"/>
      <c r="O203" s="681" t="n"/>
      <c r="P203" s="639" t="n"/>
      <c r="Q203" s="639" t="n"/>
      <c r="R203" s="665" t="n"/>
      <c r="S203" s="758" t="n"/>
      <c r="AC203" s="758" t="n"/>
      <c r="AD203" s="758" t="n"/>
      <c r="AE203" s="758" t="n"/>
    </row>
    <row r="204" ht="18" customHeight="1" s="614">
      <c r="A204" s="667" t="n"/>
      <c r="B204" s="647" t="n"/>
      <c r="C204" s="668" t="n"/>
      <c r="H204" s="647" t="n"/>
      <c r="I204" s="669" t="inlineStr">
        <is>
          <t>ディッチ</t>
        </is>
      </c>
      <c r="J204" s="682" t="n"/>
      <c r="K204" s="682" t="n"/>
      <c r="L204" s="682" t="n"/>
      <c r="M204" s="682" t="n"/>
      <c r="N204" s="682" t="n"/>
      <c r="O204" s="683" t="n"/>
      <c r="P204" s="672" t="n"/>
      <c r="Q204" s="672" t="n"/>
      <c r="R204" s="673" t="n"/>
      <c r="S204" s="758" t="n"/>
      <c r="AC204" s="758" t="n"/>
      <c r="AD204" s="758" t="n"/>
      <c r="AE204" s="758" t="n"/>
    </row>
    <row r="205" ht="18" customHeight="1" s="614">
      <c r="A205" s="652" t="n"/>
      <c r="B205" s="654" t="n"/>
      <c r="C205" s="657" t="n"/>
      <c r="D205" s="653" t="n"/>
      <c r="E205" s="653" t="n"/>
      <c r="F205" s="653" t="n"/>
      <c r="G205" s="653" t="n"/>
      <c r="H205" s="654" t="n"/>
      <c r="I205" s="676" t="inlineStr">
        <is>
          <t>放流</t>
        </is>
      </c>
      <c r="J205" s="684" t="n"/>
      <c r="K205" s="684" t="n"/>
      <c r="L205" s="684" t="n"/>
      <c r="M205" s="684" t="n"/>
      <c r="N205" s="684" t="n"/>
      <c r="O205" s="685" t="n"/>
      <c r="R205" s="651" t="n"/>
      <c r="S205" s="758" t="n"/>
      <c r="AC205" s="758" t="n"/>
      <c r="AD205" s="758" t="n"/>
      <c r="AE205" s="758" t="n"/>
    </row>
    <row r="206" ht="18" customHeight="1" s="614">
      <c r="A206" s="660" t="inlineStr">
        <is>
          <t>透視度</t>
        </is>
      </c>
      <c r="B206" s="639" t="n"/>
      <c r="C206" s="639" t="n"/>
      <c r="D206" s="639" t="n"/>
      <c r="E206" s="639" t="n"/>
      <c r="F206" s="640" t="n"/>
      <c r="G206" s="655" t="inlineStr">
        <is>
          <t>ｃｍ</t>
        </is>
      </c>
      <c r="H206" s="640" t="n"/>
      <c r="I206" s="662" t="inlineStr">
        <is>
          <t>流入水</t>
        </is>
      </c>
      <c r="J206" s="686" t="n"/>
      <c r="K206" s="686" t="n"/>
      <c r="L206" s="686" t="n"/>
      <c r="M206" s="686" t="n"/>
      <c r="N206" s="686" t="n"/>
      <c r="O206" s="687" t="n"/>
      <c r="P206" s="688" t="n"/>
      <c r="Q206" s="688" t="n"/>
      <c r="R206" s="689" t="n"/>
      <c r="S206" s="758" t="n"/>
      <c r="AC206" s="758" t="n"/>
      <c r="AD206" s="758" t="n"/>
      <c r="AE206" s="758" t="n"/>
    </row>
    <row r="207" ht="18" customHeight="1" s="614">
      <c r="A207" s="652" t="n"/>
      <c r="B207" s="653" t="n"/>
      <c r="C207" s="653" t="n"/>
      <c r="D207" s="653" t="n"/>
      <c r="E207" s="653" t="n"/>
      <c r="F207" s="654" t="n"/>
      <c r="G207" s="657" t="n"/>
      <c r="H207" s="654" t="n"/>
      <c r="I207" s="676" t="inlineStr">
        <is>
          <t>放流水</t>
        </is>
      </c>
      <c r="J207" s="690" t="n"/>
      <c r="K207" s="690" t="n"/>
      <c r="L207" s="690" t="n"/>
      <c r="M207" s="690" t="n"/>
      <c r="N207" s="690" t="n"/>
      <c r="O207" s="691" t="n"/>
      <c r="P207" s="692" t="n"/>
      <c r="Q207" s="692" t="n"/>
      <c r="R207" s="693" t="n"/>
      <c r="S207" s="758" t="n"/>
      <c r="T207" s="659" t="n"/>
      <c r="U207" s="694" t="n"/>
      <c r="V207" s="659" t="n"/>
      <c r="W207" s="659" t="n"/>
      <c r="X207" s="659" t="n"/>
      <c r="AC207" s="758" t="n"/>
      <c r="AD207" s="758" t="n"/>
      <c r="AE207" s="758" t="n"/>
    </row>
    <row r="208" ht="18" customHeight="1" s="614">
      <c r="A208" s="660" t="inlineStr">
        <is>
          <t>臭気</t>
        </is>
      </c>
      <c r="B208" s="640" t="n"/>
      <c r="C208" s="695" t="inlineStr">
        <is>
          <t>腐敗臭</t>
        </is>
      </c>
      <c r="D208" s="639" t="n"/>
      <c r="E208" s="639" t="n"/>
      <c r="F208" s="640" t="n"/>
      <c r="G208" s="655" t="inlineStr">
        <is>
          <t>有無</t>
        </is>
      </c>
      <c r="H208" s="640" t="n"/>
      <c r="I208" s="662" t="inlineStr">
        <is>
          <t>流入</t>
        </is>
      </c>
      <c r="J208" s="696" t="n"/>
      <c r="K208" s="696" t="n"/>
      <c r="L208" s="696" t="n"/>
      <c r="M208" s="696" t="n"/>
      <c r="N208" s="696" t="n"/>
      <c r="O208" s="681" t="n"/>
      <c r="P208" s="639" t="n"/>
      <c r="Q208" s="639" t="n"/>
      <c r="R208" s="665" t="n"/>
      <c r="S208" s="758" t="n"/>
      <c r="T208" s="697" t="n"/>
      <c r="U208" s="698" t="n"/>
      <c r="V208" s="698" t="n"/>
      <c r="W208" s="698" t="n"/>
      <c r="X208" s="698" t="n"/>
      <c r="Y208" s="698" t="n"/>
      <c r="AC208" s="758" t="n"/>
      <c r="AD208" s="758" t="n"/>
      <c r="AE208" s="758" t="n"/>
    </row>
    <row r="209" ht="18" customHeight="1" s="614">
      <c r="A209" s="667" t="n"/>
      <c r="B209" s="647" t="n"/>
      <c r="C209" s="668" t="n"/>
      <c r="F209" s="647" t="n"/>
      <c r="G209" s="668" t="n"/>
      <c r="H209" s="647" t="n"/>
      <c r="I209" s="669" t="inlineStr">
        <is>
          <t>ディッチ</t>
        </is>
      </c>
      <c r="J209" s="684" t="n"/>
      <c r="K209" s="684" t="n"/>
      <c r="L209" s="684" t="n"/>
      <c r="M209" s="684" t="n"/>
      <c r="N209" s="684" t="n"/>
      <c r="O209" s="683" t="n"/>
      <c r="P209" s="672" t="n"/>
      <c r="Q209" s="672" t="n"/>
      <c r="R209" s="673" t="n"/>
      <c r="S209" s="758" t="n"/>
      <c r="T209" s="697" t="n"/>
      <c r="U209" s="698" t="n"/>
      <c r="V209" s="698" t="n"/>
      <c r="W209" s="698" t="n"/>
      <c r="X209" s="698" t="n"/>
      <c r="Y209" s="698" t="n"/>
      <c r="AC209" s="758" t="n"/>
      <c r="AD209" s="758" t="n"/>
      <c r="AE209" s="758" t="n"/>
    </row>
    <row r="210" ht="18" customHeight="1" s="614">
      <c r="A210" s="652" t="n"/>
      <c r="B210" s="654" t="n"/>
      <c r="C210" s="657" t="n"/>
      <c r="D210" s="653" t="n"/>
      <c r="E210" s="653" t="n"/>
      <c r="F210" s="654" t="n"/>
      <c r="G210" s="657" t="n"/>
      <c r="H210" s="654" t="n"/>
      <c r="I210" s="676" t="inlineStr">
        <is>
          <t>放流</t>
        </is>
      </c>
      <c r="J210" s="699" t="n"/>
      <c r="K210" s="699" t="n"/>
      <c r="L210" s="699" t="n"/>
      <c r="M210" s="699" t="n"/>
      <c r="N210" s="699" t="n"/>
      <c r="O210" s="700" t="n"/>
      <c r="P210" s="701" t="n"/>
      <c r="Q210" s="701" t="n"/>
      <c r="R210" s="702" t="n"/>
      <c r="S210" s="758" t="n"/>
      <c r="U210" s="698" t="n"/>
      <c r="V210" s="698" t="n"/>
      <c r="W210" s="698" t="n"/>
      <c r="X210" s="698" t="n"/>
      <c r="Y210" s="698" t="n"/>
      <c r="AC210" s="758" t="n"/>
      <c r="AD210" s="758" t="n"/>
      <c r="AE210" s="758" t="n"/>
    </row>
    <row r="211" ht="18" customHeight="1" s="614">
      <c r="A211" s="703" t="inlineStr">
        <is>
          <t>PH</t>
        </is>
      </c>
      <c r="B211" s="639" t="n"/>
      <c r="C211" s="639" t="n"/>
      <c r="D211" s="639" t="n"/>
      <c r="E211" s="639" t="n"/>
      <c r="F211" s="640" t="n"/>
      <c r="G211" s="661" t="inlineStr">
        <is>
          <t>―</t>
        </is>
      </c>
      <c r="H211" s="640" t="n"/>
      <c r="I211" s="662" t="inlineStr">
        <is>
          <t>流入</t>
        </is>
      </c>
      <c r="J211" s="704" t="n"/>
      <c r="K211" s="704" t="n"/>
      <c r="L211" s="704" t="n"/>
      <c r="M211" s="704" t="n"/>
      <c r="N211" s="704" t="n"/>
      <c r="O211" s="705" t="n"/>
      <c r="P211" s="706" t="n"/>
      <c r="Q211" s="706" t="n"/>
      <c r="R211" s="707" t="n"/>
      <c r="S211" s="758" t="n"/>
      <c r="AC211" s="758" t="n"/>
      <c r="AD211" s="758" t="n"/>
      <c r="AE211" s="758" t="n"/>
    </row>
    <row r="212" ht="18" customHeight="1" s="614">
      <c r="A212" s="667" t="n"/>
      <c r="F212" s="647" t="n"/>
      <c r="G212" s="668" t="n"/>
      <c r="H212" s="647" t="n"/>
      <c r="I212" s="669" t="inlineStr">
        <is>
          <t>ディッチ</t>
        </is>
      </c>
      <c r="J212" s="708" t="n"/>
      <c r="K212" s="708" t="n"/>
      <c r="L212" s="708" t="n"/>
      <c r="M212" s="708" t="n"/>
      <c r="N212" s="708" t="n"/>
      <c r="O212" s="709" t="n"/>
      <c r="P212" s="701" t="n"/>
      <c r="Q212" s="701" t="n"/>
      <c r="R212" s="702" t="n"/>
      <c r="S212" s="758" t="n"/>
      <c r="AC212" s="758" t="n"/>
      <c r="AD212" s="758" t="n"/>
      <c r="AE212" s="758" t="n"/>
    </row>
    <row r="213" ht="18" customHeight="1" s="614">
      <c r="A213" s="652" t="n"/>
      <c r="B213" s="653" t="n"/>
      <c r="C213" s="653" t="n"/>
      <c r="D213" s="653" t="n"/>
      <c r="E213" s="653" t="n"/>
      <c r="F213" s="654" t="n"/>
      <c r="G213" s="657" t="n"/>
      <c r="H213" s="654" t="n"/>
      <c r="I213" s="676" t="inlineStr">
        <is>
          <t>放流</t>
        </is>
      </c>
      <c r="J213" s="710" t="n"/>
      <c r="K213" s="710" t="n"/>
      <c r="L213" s="710" t="n"/>
      <c r="M213" s="710" t="n"/>
      <c r="N213" s="710" t="n"/>
      <c r="O213" s="711" t="n"/>
      <c r="P213" s="692" t="n"/>
      <c r="Q213" s="692" t="n"/>
      <c r="R213" s="693" t="n"/>
      <c r="S213" s="758" t="n"/>
      <c r="T213" s="712" t="n"/>
      <c r="AC213" s="758" t="n"/>
      <c r="AD213" s="758" t="n"/>
      <c r="AE213" s="758" t="n"/>
    </row>
    <row r="214" ht="18" customHeight="1" s="614">
      <c r="A214" s="713" t="inlineStr">
        <is>
          <t>SV</t>
        </is>
      </c>
      <c r="B214" s="640" t="n"/>
      <c r="C214" s="714" t="inlineStr">
        <is>
          <t>SV・10</t>
        </is>
      </c>
      <c r="D214" s="626" t="n"/>
      <c r="E214" s="626" t="n"/>
      <c r="F214" s="627" t="n"/>
      <c r="G214" s="655" t="inlineStr">
        <is>
          <t>％</t>
        </is>
      </c>
      <c r="H214" s="640" t="n"/>
      <c r="I214" s="715" t="inlineStr">
        <is>
          <t>ディッチ</t>
        </is>
      </c>
      <c r="J214" s="716" t="n"/>
      <c r="K214" s="716" t="n"/>
      <c r="L214" s="716" t="n"/>
      <c r="M214" s="716" t="n"/>
      <c r="N214" s="716" t="n"/>
      <c r="O214" s="664" t="n"/>
      <c r="P214" s="639" t="n"/>
      <c r="Q214" s="639" t="n"/>
      <c r="R214" s="665" t="n"/>
      <c r="S214" s="758" t="n"/>
      <c r="T214" s="712" t="n"/>
      <c r="AC214" s="758" t="n"/>
      <c r="AD214" s="758" t="n"/>
      <c r="AE214" s="758" t="n"/>
    </row>
    <row r="215" ht="18" customHeight="1" s="614">
      <c r="A215" s="667" t="n"/>
      <c r="B215" s="647" t="n"/>
      <c r="C215" s="714" t="inlineStr">
        <is>
          <t>SV・20</t>
        </is>
      </c>
      <c r="D215" s="626" t="n"/>
      <c r="E215" s="626" t="n"/>
      <c r="F215" s="627" t="n"/>
      <c r="G215" s="668" t="n"/>
      <c r="H215" s="647" t="n"/>
      <c r="I215" s="668" t="n"/>
      <c r="J215" s="718" t="n"/>
      <c r="K215" s="718" t="n"/>
      <c r="L215" s="718" t="n"/>
      <c r="M215" s="718" t="n"/>
      <c r="N215" s="718" t="n"/>
      <c r="O215" s="671" t="n"/>
      <c r="P215" s="672" t="n"/>
      <c r="Q215" s="672" t="n"/>
      <c r="R215" s="673" t="n"/>
      <c r="S215" s="758" t="n"/>
      <c r="T215" s="659" t="n"/>
      <c r="AC215" s="758" t="n"/>
      <c r="AD215" s="758" t="n"/>
      <c r="AE215" s="758" t="n"/>
    </row>
    <row r="216" ht="18" customHeight="1" s="614">
      <c r="A216" s="667" t="n"/>
      <c r="B216" s="647" t="n"/>
      <c r="C216" s="714" t="inlineStr">
        <is>
          <t>SV・30</t>
        </is>
      </c>
      <c r="D216" s="626" t="n"/>
      <c r="E216" s="626" t="n"/>
      <c r="F216" s="627" t="n"/>
      <c r="G216" s="668" t="n"/>
      <c r="H216" s="647" t="n"/>
      <c r="I216" s="668" t="n"/>
      <c r="J216" s="719" t="n"/>
      <c r="K216" s="719" t="n"/>
      <c r="L216" s="719" t="n"/>
      <c r="M216" s="719" t="n"/>
      <c r="N216" s="719" t="n"/>
      <c r="O216" s="671" t="n"/>
      <c r="P216" s="672" t="n"/>
      <c r="Q216" s="672" t="n"/>
      <c r="R216" s="673" t="n"/>
      <c r="S216" s="758" t="n"/>
      <c r="T216" s="659" t="n"/>
      <c r="AC216" s="758" t="n"/>
      <c r="AD216" s="758" t="n"/>
      <c r="AE216" s="758" t="n"/>
    </row>
    <row r="217" ht="18" customHeight="1" s="614">
      <c r="A217" s="652" t="n"/>
      <c r="B217" s="654" t="n"/>
      <c r="C217" s="714" t="inlineStr">
        <is>
          <t>SV・24ｈ</t>
        </is>
      </c>
      <c r="D217" s="626" t="n"/>
      <c r="E217" s="626" t="n"/>
      <c r="F217" s="627" t="n"/>
      <c r="G217" s="657" t="n"/>
      <c r="H217" s="654" t="n"/>
      <c r="I217" s="657" t="n"/>
      <c r="J217" s="720" t="n"/>
      <c r="K217" s="720" t="n"/>
      <c r="L217" s="720" t="n"/>
      <c r="M217" s="720" t="n"/>
      <c r="N217" s="720" t="n"/>
      <c r="O217" s="721" t="n"/>
      <c r="P217" s="701" t="n"/>
      <c r="Q217" s="701" t="n"/>
      <c r="R217" s="702" t="n"/>
      <c r="S217" s="758" t="n"/>
      <c r="AC217" s="758" t="n"/>
      <c r="AD217" s="758" t="n"/>
      <c r="AE217" s="758" t="n"/>
    </row>
    <row r="218" ht="18" customHeight="1" s="614">
      <c r="A218" s="713" t="inlineStr">
        <is>
          <t>MLSS</t>
        </is>
      </c>
      <c r="B218" s="626" t="n"/>
      <c r="C218" s="626" t="n"/>
      <c r="D218" s="626" t="n"/>
      <c r="E218" s="626" t="n"/>
      <c r="F218" s="627" t="n"/>
      <c r="G218" s="655" t="inlineStr">
        <is>
          <t>㎎/ℓ</t>
        </is>
      </c>
      <c r="H218" s="627" t="n"/>
      <c r="I218" s="722" t="inlineStr">
        <is>
          <t>ディッチ</t>
        </is>
      </c>
      <c r="J218" s="723" t="n"/>
      <c r="K218" s="723" t="n"/>
      <c r="L218" s="723" t="n"/>
      <c r="M218" s="723" t="n"/>
      <c r="N218" s="723" t="n"/>
      <c r="O218" s="687" t="n"/>
      <c r="P218" s="688" t="n"/>
      <c r="Q218" s="688" t="n"/>
      <c r="R218" s="689" t="n"/>
      <c r="S218" s="758" t="n"/>
      <c r="AC218" s="758" t="n"/>
      <c r="AD218" s="758" t="n"/>
      <c r="AE218" s="758" t="n"/>
    </row>
    <row r="219" ht="18" customHeight="1" s="614">
      <c r="A219" s="660" t="inlineStr">
        <is>
          <t>汚泥界面</t>
        </is>
      </c>
      <c r="B219" s="626" t="n"/>
      <c r="C219" s="626" t="n"/>
      <c r="D219" s="626" t="n"/>
      <c r="E219" s="626" t="n"/>
      <c r="F219" s="627" t="n"/>
      <c r="G219" s="655" t="inlineStr">
        <is>
          <t>ｃｍ</t>
        </is>
      </c>
      <c r="H219" s="627" t="n"/>
      <c r="I219" s="724" t="inlineStr">
        <is>
          <t>終沈</t>
        </is>
      </c>
      <c r="J219" s="725" t="n"/>
      <c r="K219" s="725" t="n"/>
      <c r="L219" s="725" t="n"/>
      <c r="M219" s="725" t="n"/>
      <c r="N219" s="725" t="n"/>
      <c r="O219" s="726" t="n"/>
      <c r="P219" s="688" t="n"/>
      <c r="Q219" s="688" t="n"/>
      <c r="R219" s="689" t="n"/>
      <c r="S219" s="758" t="n"/>
      <c r="AC219" s="758" t="n"/>
      <c r="AD219" s="758" t="n"/>
      <c r="AE219" s="758" t="n"/>
    </row>
    <row r="220" ht="18" customHeight="1" s="614">
      <c r="A220" s="660" t="inlineStr">
        <is>
          <t>残留塩素</t>
        </is>
      </c>
      <c r="B220" s="626" t="n"/>
      <c r="C220" s="626" t="n"/>
      <c r="D220" s="626" t="n"/>
      <c r="E220" s="626" t="n"/>
      <c r="F220" s="627" t="n"/>
      <c r="G220" s="655" t="inlineStr">
        <is>
          <t>㎎/ℓ</t>
        </is>
      </c>
      <c r="H220" s="627" t="n"/>
      <c r="I220" s="722" t="inlineStr">
        <is>
          <t>放流水</t>
        </is>
      </c>
      <c r="J220" s="727" t="n"/>
      <c r="K220" s="727" t="n"/>
      <c r="L220" s="727" t="n"/>
      <c r="M220" s="727" t="n"/>
      <c r="N220" s="727" t="n"/>
      <c r="O220" s="726" t="n"/>
      <c r="P220" s="688" t="n"/>
      <c r="Q220" s="688" t="n"/>
      <c r="R220" s="689" t="n"/>
      <c r="S220" s="758" t="n"/>
      <c r="AC220" s="758" t="n"/>
      <c r="AD220" s="758" t="n"/>
      <c r="AE220" s="758" t="n"/>
    </row>
    <row r="221" ht="18" customHeight="1" s="614">
      <c r="A221" s="625" t="inlineStr">
        <is>
          <t>塩素投入量</t>
        </is>
      </c>
      <c r="B221" s="626" t="n"/>
      <c r="C221" s="626" t="n"/>
      <c r="D221" s="626" t="n"/>
      <c r="E221" s="626" t="n"/>
      <c r="F221" s="627" t="n"/>
      <c r="G221" s="728" t="inlineStr">
        <is>
          <t>kg</t>
        </is>
      </c>
      <c r="H221" s="640" t="n"/>
      <c r="I221" s="729" t="inlineStr">
        <is>
          <t>塩素混和池</t>
        </is>
      </c>
      <c r="J221" s="730" t="n"/>
      <c r="K221" s="730" t="n"/>
      <c r="L221" s="730" t="n"/>
      <c r="M221" s="730" t="n"/>
      <c r="N221" s="730" t="n"/>
      <c r="O221" s="731" t="n"/>
      <c r="P221" s="626" t="n"/>
      <c r="Q221" s="626" t="n"/>
      <c r="R221" s="631" t="n"/>
      <c r="S221" s="758" t="n"/>
      <c r="AC221" s="758" t="n"/>
      <c r="AD221" s="758" t="n"/>
      <c r="AE221" s="758" t="n"/>
    </row>
    <row r="222" ht="18" customHeight="1" s="614">
      <c r="A222" s="732" t="inlineStr">
        <is>
          <t xml:space="preserve">　備　　考</t>
        </is>
      </c>
      <c r="G222" s="733" t="n"/>
      <c r="H222" s="639" t="n"/>
      <c r="I222" s="734" t="n"/>
      <c r="J222" s="735" t="n"/>
      <c r="K222" s="735" t="n"/>
      <c r="L222" s="735" t="n"/>
      <c r="M222" s="735" t="n"/>
      <c r="N222" s="736" t="n"/>
      <c r="O222" s="737" t="n"/>
      <c r="P222" s="639" t="n"/>
      <c r="Q222" s="639" t="n"/>
      <c r="R222" s="665" t="n"/>
      <c r="S222" s="758" t="n"/>
      <c r="AC222" s="758" t="n"/>
      <c r="AD222" s="758" t="n"/>
      <c r="AE222" s="758" t="n"/>
    </row>
    <row r="223" ht="18" customHeight="1" s="614">
      <c r="A223" s="738" t="n"/>
      <c r="R223" s="651" t="n"/>
      <c r="S223" s="758" t="n"/>
      <c r="AC223" s="758" t="n"/>
      <c r="AD223" s="758" t="n"/>
      <c r="AE223" s="758" t="n"/>
    </row>
    <row r="224" ht="18" customHeight="1" s="614">
      <c r="A224" s="667" t="n"/>
      <c r="R224" s="651" t="n"/>
      <c r="S224" s="758" t="n"/>
      <c r="AC224" s="758" t="n"/>
      <c r="AD224" s="758" t="n"/>
      <c r="AE224" s="758" t="n"/>
    </row>
    <row r="225" ht="18" customHeight="1" s="614">
      <c r="A225" s="667" t="n"/>
      <c r="R225" s="651" t="n"/>
      <c r="S225" s="758" t="n"/>
      <c r="AC225" s="758" t="n"/>
      <c r="AD225" s="758" t="n"/>
      <c r="AE225" s="758" t="n"/>
    </row>
    <row r="226" ht="18" customHeight="1" s="614">
      <c r="A226" s="667" t="n"/>
      <c r="R226" s="651" t="n"/>
      <c r="S226" s="758" t="n"/>
      <c r="AC226" s="758" t="n"/>
      <c r="AD226" s="758" t="n"/>
      <c r="AE226" s="758" t="n"/>
    </row>
    <row r="227" ht="18" customHeight="1" s="614">
      <c r="A227" s="667" t="n"/>
      <c r="R227" s="651" t="n"/>
      <c r="S227" s="758" t="n"/>
      <c r="AC227" s="758" t="n"/>
      <c r="AD227" s="758" t="n"/>
      <c r="AE227" s="758" t="n"/>
    </row>
    <row r="228" ht="18" customHeight="1" s="614">
      <c r="A228" s="667" t="n"/>
      <c r="R228" s="651" t="n"/>
      <c r="S228" s="758" t="n"/>
      <c r="AC228" s="758" t="n"/>
      <c r="AD228" s="758" t="n"/>
      <c r="AE228" s="758" t="n"/>
    </row>
    <row r="229" ht="18" customHeight="1" s="614">
      <c r="A229" s="667" t="n"/>
      <c r="R229" s="651" t="n"/>
      <c r="S229" s="758" t="n"/>
      <c r="AC229" s="758" t="n"/>
      <c r="AD229" s="758" t="n"/>
      <c r="AE229" s="758" t="n"/>
    </row>
    <row r="230" ht="18" customHeight="1" s="614">
      <c r="A230" s="739" t="n"/>
      <c r="B230" s="618" t="n"/>
      <c r="C230" s="618" t="n"/>
      <c r="D230" s="618" t="n"/>
      <c r="E230" s="618" t="n"/>
      <c r="F230" s="618" t="n"/>
      <c r="G230" s="618" t="n"/>
      <c r="H230" s="618" t="n"/>
      <c r="I230" s="618" t="n"/>
      <c r="J230" s="618" t="n"/>
      <c r="K230" s="618" t="n"/>
      <c r="L230" s="618" t="n"/>
      <c r="M230" s="618" t="n"/>
      <c r="N230" s="618" t="n"/>
      <c r="O230" s="618" t="n"/>
      <c r="P230" s="618" t="n"/>
      <c r="Q230" s="618" t="n"/>
      <c r="R230" s="740" t="n"/>
      <c r="S230" s="758" t="n"/>
      <c r="AC230" s="758" t="n"/>
      <c r="AD230" s="758" t="n"/>
      <c r="AE230" s="758" t="n"/>
    </row>
    <row r="231" ht="12.75" customHeight="1" s="614"/>
  </sheetData>
  <mergeCells count="450">
    <mergeCell ref="O64:R64"/>
    <mergeCell ref="O122:R122"/>
    <mergeCell ref="A49:H49"/>
    <mergeCell ref="O72:R72"/>
    <mergeCell ref="T76:Y76"/>
    <mergeCell ref="A1:L2"/>
    <mergeCell ref="A151:R151"/>
    <mergeCell ref="A38:F38"/>
    <mergeCell ref="O211:R211"/>
    <mergeCell ref="G148:H148"/>
    <mergeCell ref="O148:R148"/>
    <mergeCell ref="O54:R54"/>
    <mergeCell ref="O212:R212"/>
    <mergeCell ref="A51:F51"/>
    <mergeCell ref="O146:R146"/>
    <mergeCell ref="O35:R35"/>
    <mergeCell ref="A82:F82"/>
    <mergeCell ref="O206:R206"/>
    <mergeCell ref="G143:H143"/>
    <mergeCell ref="O214:R214"/>
    <mergeCell ref="G219:H219"/>
    <mergeCell ref="O159:R159"/>
    <mergeCell ref="A35:F35"/>
    <mergeCell ref="O161:R161"/>
    <mergeCell ref="G127:H127"/>
    <mergeCell ref="A165:F167"/>
    <mergeCell ref="O207:R207"/>
    <mergeCell ref="O29:R29"/>
    <mergeCell ref="O200:R200"/>
    <mergeCell ref="C124:F124"/>
    <mergeCell ref="O31:R31"/>
    <mergeCell ref="C162:F164"/>
    <mergeCell ref="O202:R202"/>
    <mergeCell ref="A160:F161"/>
    <mergeCell ref="G9:H9"/>
    <mergeCell ref="O62:R62"/>
    <mergeCell ref="C76:F76"/>
    <mergeCell ref="A54:F54"/>
    <mergeCell ref="O56:R56"/>
    <mergeCell ref="G68:H69"/>
    <mergeCell ref="O154:R154"/>
    <mergeCell ref="C70:F72"/>
    <mergeCell ref="G11:H11"/>
    <mergeCell ref="T155:AB156"/>
    <mergeCell ref="A56:F56"/>
    <mergeCell ref="A129:F129"/>
    <mergeCell ref="O57:R57"/>
    <mergeCell ref="O149:R149"/>
    <mergeCell ref="O220:R220"/>
    <mergeCell ref="T63:AB64"/>
    <mergeCell ref="A106:H107"/>
    <mergeCell ref="O9:R9"/>
    <mergeCell ref="G168:H171"/>
    <mergeCell ref="O215:R215"/>
    <mergeCell ref="A34:F34"/>
    <mergeCell ref="A83:F83"/>
    <mergeCell ref="A143:F143"/>
    <mergeCell ref="G51:H51"/>
    <mergeCell ref="O175:R175"/>
    <mergeCell ref="G200:H202"/>
    <mergeCell ref="O4:R4"/>
    <mergeCell ref="G160:H161"/>
    <mergeCell ref="O75:R75"/>
    <mergeCell ref="A36:F36"/>
    <mergeCell ref="A30:B33"/>
    <mergeCell ref="O104:R104"/>
    <mergeCell ref="O70:R70"/>
    <mergeCell ref="A80:F80"/>
    <mergeCell ref="A93:L94"/>
    <mergeCell ref="T214:Y214"/>
    <mergeCell ref="O81:R81"/>
    <mergeCell ref="G82:H82"/>
    <mergeCell ref="A152:H153"/>
    <mergeCell ref="G190:H190"/>
    <mergeCell ref="G146:H146"/>
    <mergeCell ref="A131:R138"/>
    <mergeCell ref="G76:H79"/>
    <mergeCell ref="C33:F33"/>
    <mergeCell ref="A4:F4"/>
    <mergeCell ref="G6:H6"/>
    <mergeCell ref="O101:R101"/>
    <mergeCell ref="O155:R155"/>
    <mergeCell ref="A200:F202"/>
    <mergeCell ref="G83:H83"/>
    <mergeCell ref="G214:H217"/>
    <mergeCell ref="O157:R157"/>
    <mergeCell ref="A220:F220"/>
    <mergeCell ref="O172:R172"/>
    <mergeCell ref="O221:R221"/>
    <mergeCell ref="A222:F222"/>
    <mergeCell ref="A22:F23"/>
    <mergeCell ref="A111:B113"/>
    <mergeCell ref="A84:F84"/>
    <mergeCell ref="O12:R12"/>
    <mergeCell ref="C122:F122"/>
    <mergeCell ref="A50:F50"/>
    <mergeCell ref="C125:F125"/>
    <mergeCell ref="G70:H72"/>
    <mergeCell ref="C217:F217"/>
    <mergeCell ref="A175:F175"/>
    <mergeCell ref="I122:I125"/>
    <mergeCell ref="O7:R7"/>
    <mergeCell ref="A150:F150"/>
    <mergeCell ref="O78:R78"/>
    <mergeCell ref="A144:F144"/>
    <mergeCell ref="I214:I217"/>
    <mergeCell ref="O170:R170"/>
    <mergeCell ref="O120:R120"/>
    <mergeCell ref="A81:F81"/>
    <mergeCell ref="A3:H3"/>
    <mergeCell ref="A95:H95"/>
    <mergeCell ref="O171:R171"/>
    <mergeCell ref="T213:Y213"/>
    <mergeCell ref="C214:F214"/>
    <mergeCell ref="O25:R25"/>
    <mergeCell ref="O196:R196"/>
    <mergeCell ref="T215:Y215"/>
    <mergeCell ref="G84:H84"/>
    <mergeCell ref="A73:F75"/>
    <mergeCell ref="G193:H193"/>
    <mergeCell ref="G149:H149"/>
    <mergeCell ref="A7:F7"/>
    <mergeCell ref="A172:F172"/>
    <mergeCell ref="A19:B21"/>
    <mergeCell ref="A99:F99"/>
    <mergeCell ref="A221:F221"/>
    <mergeCell ref="O8:R8"/>
    <mergeCell ref="A68:F69"/>
    <mergeCell ref="A101:F101"/>
    <mergeCell ref="G38:H38"/>
    <mergeCell ref="A187:H187"/>
    <mergeCell ref="O3:R3"/>
    <mergeCell ref="O68:R68"/>
    <mergeCell ref="G175:H175"/>
    <mergeCell ref="O176:R176"/>
    <mergeCell ref="T170:Y170"/>
    <mergeCell ref="A208:B210"/>
    <mergeCell ref="O97:R97"/>
    <mergeCell ref="G104:H104"/>
    <mergeCell ref="O191:R191"/>
    <mergeCell ref="A127:F127"/>
    <mergeCell ref="A176:F176"/>
    <mergeCell ref="G35:H35"/>
    <mergeCell ref="O128:R128"/>
    <mergeCell ref="G73:H75"/>
    <mergeCell ref="A191:F191"/>
    <mergeCell ref="A203:B205"/>
    <mergeCell ref="G99:H99"/>
    <mergeCell ref="O21:R21"/>
    <mergeCell ref="G154:H156"/>
    <mergeCell ref="O192:R192"/>
    <mergeCell ref="A218:F218"/>
    <mergeCell ref="O173:R173"/>
    <mergeCell ref="O123:R123"/>
    <mergeCell ref="G130:H130"/>
    <mergeCell ref="O110:R110"/>
    <mergeCell ref="A76:B79"/>
    <mergeCell ref="G101:H101"/>
    <mergeCell ref="G172:H172"/>
    <mergeCell ref="A8:F8"/>
    <mergeCell ref="T31:Y31"/>
    <mergeCell ref="O34:R34"/>
    <mergeCell ref="C24:F26"/>
    <mergeCell ref="A100:F100"/>
    <mergeCell ref="O28:R28"/>
    <mergeCell ref="A196:F196"/>
    <mergeCell ref="A10:F10"/>
    <mergeCell ref="C203:H205"/>
    <mergeCell ref="C215:F215"/>
    <mergeCell ref="A39:R46"/>
    <mergeCell ref="O36:R36"/>
    <mergeCell ref="A102:F102"/>
    <mergeCell ref="O30:R30"/>
    <mergeCell ref="A173:F173"/>
    <mergeCell ref="O5:R5"/>
    <mergeCell ref="O103:R103"/>
    <mergeCell ref="O65:R65"/>
    <mergeCell ref="A60:H61"/>
    <mergeCell ref="G54:H54"/>
    <mergeCell ref="O167:R167"/>
    <mergeCell ref="A103:F103"/>
    <mergeCell ref="G122:H125"/>
    <mergeCell ref="G56:H56"/>
    <mergeCell ref="O217:R217"/>
    <mergeCell ref="T121:Y121"/>
    <mergeCell ref="A128:F128"/>
    <mergeCell ref="G208:H210"/>
    <mergeCell ref="G36:H36"/>
    <mergeCell ref="O129:R129"/>
    <mergeCell ref="G114:H115"/>
    <mergeCell ref="T123:Y123"/>
    <mergeCell ref="A192:F192"/>
    <mergeCell ref="C170:F170"/>
    <mergeCell ref="O194:R194"/>
    <mergeCell ref="G206:H207"/>
    <mergeCell ref="A57:F57"/>
    <mergeCell ref="A219:F219"/>
    <mergeCell ref="A194:F194"/>
    <mergeCell ref="A96:F96"/>
    <mergeCell ref="O24:R24"/>
    <mergeCell ref="O195:R195"/>
    <mergeCell ref="O18:R18"/>
    <mergeCell ref="O116:R116"/>
    <mergeCell ref="G196:H196"/>
    <mergeCell ref="A52:F52"/>
    <mergeCell ref="T201:AB202"/>
    <mergeCell ref="O60:R61"/>
    <mergeCell ref="A13:R13"/>
    <mergeCell ref="O49:R49"/>
    <mergeCell ref="T30:Y30"/>
    <mergeCell ref="G4:H4"/>
    <mergeCell ref="A211:F213"/>
    <mergeCell ref="T32:Y32"/>
    <mergeCell ref="O113:R113"/>
    <mergeCell ref="O84:R84"/>
    <mergeCell ref="T29:Y29"/>
    <mergeCell ref="O205:R205"/>
    <mergeCell ref="O50:R50"/>
    <mergeCell ref="A206:F207"/>
    <mergeCell ref="O142:R142"/>
    <mergeCell ref="O213:R213"/>
    <mergeCell ref="A174:F174"/>
    <mergeCell ref="O80:R80"/>
    <mergeCell ref="A168:B171"/>
    <mergeCell ref="I30:I33"/>
    <mergeCell ref="O52:R52"/>
    <mergeCell ref="O79:R79"/>
    <mergeCell ref="A108:F110"/>
    <mergeCell ref="A189:F189"/>
    <mergeCell ref="O144:R144"/>
    <mergeCell ref="G176:H176"/>
    <mergeCell ref="O119:R119"/>
    <mergeCell ref="G97:H97"/>
    <mergeCell ref="A55:F55"/>
    <mergeCell ref="O37:R37"/>
    <mergeCell ref="O208:R208"/>
    <mergeCell ref="C78:F78"/>
    <mergeCell ref="G57:H57"/>
    <mergeCell ref="C208:F210"/>
    <mergeCell ref="G128:H128"/>
    <mergeCell ref="G220:H220"/>
    <mergeCell ref="C79:F79"/>
    <mergeCell ref="G24:H26"/>
    <mergeCell ref="C171:F171"/>
    <mergeCell ref="G222:H222"/>
    <mergeCell ref="G58:H58"/>
    <mergeCell ref="A58:F58"/>
    <mergeCell ref="O222:R222"/>
    <mergeCell ref="A116:B118"/>
    <mergeCell ref="O32:R32"/>
    <mergeCell ref="O63:R63"/>
    <mergeCell ref="O26:R26"/>
    <mergeCell ref="O99:R99"/>
    <mergeCell ref="A59:R59"/>
    <mergeCell ref="O106:R107"/>
    <mergeCell ref="O74:R74"/>
    <mergeCell ref="O55:R55"/>
    <mergeCell ref="T78:Y78"/>
    <mergeCell ref="O27:R27"/>
    <mergeCell ref="G12:H12"/>
    <mergeCell ref="G165:H167"/>
    <mergeCell ref="A149:F149"/>
    <mergeCell ref="A16:F18"/>
    <mergeCell ref="A195:F195"/>
    <mergeCell ref="O150:R150"/>
    <mergeCell ref="A27:F29"/>
    <mergeCell ref="G7:H7"/>
    <mergeCell ref="A188:F188"/>
    <mergeCell ref="A126:F126"/>
    <mergeCell ref="C30:F30"/>
    <mergeCell ref="A162:B164"/>
    <mergeCell ref="O53:R53"/>
    <mergeCell ref="A190:F190"/>
    <mergeCell ref="O145:R145"/>
    <mergeCell ref="O216:R216"/>
    <mergeCell ref="O210:R210"/>
    <mergeCell ref="G192:H192"/>
    <mergeCell ref="C111:H113"/>
    <mergeCell ref="O147:R147"/>
    <mergeCell ref="A141:H141"/>
    <mergeCell ref="A142:F142"/>
    <mergeCell ref="G129:H129"/>
    <mergeCell ref="G221:H221"/>
    <mergeCell ref="C123:F123"/>
    <mergeCell ref="O71:R71"/>
    <mergeCell ref="O58:R58"/>
    <mergeCell ref="O163:R163"/>
    <mergeCell ref="G27:H29"/>
    <mergeCell ref="A145:F145"/>
    <mergeCell ref="O73:R73"/>
    <mergeCell ref="O100:R100"/>
    <mergeCell ref="A157:B159"/>
    <mergeCell ref="G126:H126"/>
    <mergeCell ref="O165:R165"/>
    <mergeCell ref="O66:R66"/>
    <mergeCell ref="O115:R115"/>
    <mergeCell ref="O102:R102"/>
    <mergeCell ref="O77:R77"/>
    <mergeCell ref="O204:R204"/>
    <mergeCell ref="O160:R160"/>
    <mergeCell ref="G142:H142"/>
    <mergeCell ref="G80:H80"/>
    <mergeCell ref="O14:R15"/>
    <mergeCell ref="G144:H144"/>
    <mergeCell ref="C19:H21"/>
    <mergeCell ref="C31:F31"/>
    <mergeCell ref="O218:R218"/>
    <mergeCell ref="T122:Y122"/>
    <mergeCell ref="I168:I171"/>
    <mergeCell ref="A197:R197"/>
    <mergeCell ref="A119:F121"/>
    <mergeCell ref="G173:H173"/>
    <mergeCell ref="O95:R95"/>
    <mergeCell ref="T109:AB110"/>
    <mergeCell ref="G211:H213"/>
    <mergeCell ref="A193:F193"/>
    <mergeCell ref="O219:R219"/>
    <mergeCell ref="G8:H8"/>
    <mergeCell ref="G10:H10"/>
    <mergeCell ref="A114:F115"/>
    <mergeCell ref="G116:H118"/>
    <mergeCell ref="G53:H53"/>
    <mergeCell ref="O10:R10"/>
    <mergeCell ref="G22:H23"/>
    <mergeCell ref="A147:F147"/>
    <mergeCell ref="G162:H164"/>
    <mergeCell ref="C116:F118"/>
    <mergeCell ref="O198:R199"/>
    <mergeCell ref="G5:H5"/>
    <mergeCell ref="O166:R166"/>
    <mergeCell ref="O141:R141"/>
    <mergeCell ref="A148:F148"/>
    <mergeCell ref="O168:R168"/>
    <mergeCell ref="T17:AB18"/>
    <mergeCell ref="T216:Y216"/>
    <mergeCell ref="O143:R143"/>
    <mergeCell ref="O118:R118"/>
    <mergeCell ref="A146:F146"/>
    <mergeCell ref="G150:H150"/>
    <mergeCell ref="A6:F6"/>
    <mergeCell ref="A47:L48"/>
    <mergeCell ref="G81:H81"/>
    <mergeCell ref="G119:H121"/>
    <mergeCell ref="G145:H145"/>
    <mergeCell ref="O67:R67"/>
    <mergeCell ref="C32:F32"/>
    <mergeCell ref="G194:H194"/>
    <mergeCell ref="O23:R23"/>
    <mergeCell ref="O121:R121"/>
    <mergeCell ref="G147:H147"/>
    <mergeCell ref="G174:H174"/>
    <mergeCell ref="A5:F5"/>
    <mergeCell ref="O96:R96"/>
    <mergeCell ref="A97:F97"/>
    <mergeCell ref="A122:B125"/>
    <mergeCell ref="O6:R6"/>
    <mergeCell ref="G189:H189"/>
    <mergeCell ref="O98:R98"/>
    <mergeCell ref="G34:H34"/>
    <mergeCell ref="O156:R156"/>
    <mergeCell ref="T77:Y77"/>
    <mergeCell ref="G100:H100"/>
    <mergeCell ref="O16:R16"/>
    <mergeCell ref="O187:R187"/>
    <mergeCell ref="O174:R174"/>
    <mergeCell ref="T168:Y168"/>
    <mergeCell ref="G102:H102"/>
    <mergeCell ref="O189:R189"/>
    <mergeCell ref="O17:R17"/>
    <mergeCell ref="O188:R188"/>
    <mergeCell ref="O126:R126"/>
    <mergeCell ref="O11:R11"/>
    <mergeCell ref="A85:R92"/>
    <mergeCell ref="O82:R82"/>
    <mergeCell ref="O169:R169"/>
    <mergeCell ref="A105:R105"/>
    <mergeCell ref="O111:R111"/>
    <mergeCell ref="G191:H191"/>
    <mergeCell ref="A65:B67"/>
    <mergeCell ref="C216:F216"/>
    <mergeCell ref="G195:H195"/>
    <mergeCell ref="G62:H64"/>
    <mergeCell ref="A9:F9"/>
    <mergeCell ref="A62:F64"/>
    <mergeCell ref="O108:R108"/>
    <mergeCell ref="A11:F11"/>
    <mergeCell ref="O162:R162"/>
    <mergeCell ref="A98:F98"/>
    <mergeCell ref="O124:R124"/>
    <mergeCell ref="O201:R201"/>
    <mergeCell ref="O164:R164"/>
    <mergeCell ref="G16:H18"/>
    <mergeCell ref="A214:B217"/>
    <mergeCell ref="A24:B26"/>
    <mergeCell ref="T167:Y167"/>
    <mergeCell ref="A14:H15"/>
    <mergeCell ref="G30:H33"/>
    <mergeCell ref="T169:Y169"/>
    <mergeCell ref="C77:F77"/>
    <mergeCell ref="A154:F156"/>
    <mergeCell ref="G37:H37"/>
    <mergeCell ref="O130:R130"/>
    <mergeCell ref="G103:H103"/>
    <mergeCell ref="O19:R19"/>
    <mergeCell ref="T75:Y75"/>
    <mergeCell ref="O190:R190"/>
    <mergeCell ref="O117:R117"/>
    <mergeCell ref="A53:F53"/>
    <mergeCell ref="O83:R83"/>
    <mergeCell ref="O20:R20"/>
    <mergeCell ref="O125:R125"/>
    <mergeCell ref="O112:R112"/>
    <mergeCell ref="A139:L140"/>
    <mergeCell ref="O22:R22"/>
    <mergeCell ref="O127:R127"/>
    <mergeCell ref="O193:R193"/>
    <mergeCell ref="A185:L186"/>
    <mergeCell ref="O114:R114"/>
    <mergeCell ref="G50:H50"/>
    <mergeCell ref="T124:Y124"/>
    <mergeCell ref="G96:H96"/>
    <mergeCell ref="O51:R51"/>
    <mergeCell ref="A198:H199"/>
    <mergeCell ref="O109:R109"/>
    <mergeCell ref="A177:R184"/>
    <mergeCell ref="G52:H52"/>
    <mergeCell ref="A37:F37"/>
    <mergeCell ref="G98:H98"/>
    <mergeCell ref="A12:F12"/>
    <mergeCell ref="C65:H67"/>
    <mergeCell ref="I76:I79"/>
    <mergeCell ref="O38:R38"/>
    <mergeCell ref="O76:R76"/>
    <mergeCell ref="A104:F104"/>
    <mergeCell ref="A70:B72"/>
    <mergeCell ref="O203:R203"/>
    <mergeCell ref="O209:R209"/>
    <mergeCell ref="O33:R33"/>
    <mergeCell ref="G108:H110"/>
    <mergeCell ref="A130:F130"/>
    <mergeCell ref="C168:F168"/>
    <mergeCell ref="G55:H55"/>
    <mergeCell ref="G188:H188"/>
    <mergeCell ref="O69:R69"/>
    <mergeCell ref="G218:H218"/>
    <mergeCell ref="O158:R158"/>
    <mergeCell ref="O152:R153"/>
    <mergeCell ref="C157:H159"/>
    <mergeCell ref="C169:F169"/>
    <mergeCell ref="A223:R230"/>
  </mergeCells>
  <dataValidations count="2">
    <dataValidation sqref="J19:N21 J65:N67 J111:N113 J157:N159 J203:N205" showDropDown="0" showInputMessage="0" showErrorMessage="1" allowBlank="1" type="list" errorStyle="stop" operator="between">
      <formula1>$T$23:$X$23</formula1>
      <formula2>0</formula2>
    </dataValidation>
    <dataValidation sqref="J24:N26 J70:N72 J116:N118 J162:N164 J208:N210" showDropDown="0" showInputMessage="0" showErrorMessage="1" allowBlank="1" type="list" errorStyle="stop" operator="between">
      <formula1>$T$29:$T$32</formula1>
      <formula2>0</formula2>
    </dataValidation>
  </dataValidations>
  <printOptions horizontalCentered="1" verticalCentered="0" headings="0" gridLines="0" gridLinesSet="1"/>
  <pageMargins left="0.39375" right="0.39375" top="0.39375" bottom="0.39375" header="0.511811023622047" footer="0.511811023622047"/>
  <pageSetup orientation="portrait" paperSize="9" scale="100" fitToHeight="1" fitToWidth="1" pageOrder="downThenOver" blackAndWhite="0" draft="0" horizontalDpi="300" verticalDpi="300" copies="1"/>
  <rowBreaks count="4" manualBreakCount="4">
    <brk id="46" min="0" max="16383" man="1"/>
    <brk id="92" min="0" max="16383" man="1"/>
    <brk id="138" min="0" max="16383" man="1"/>
    <brk id="184" min="0" max="16383" man="1"/>
  </rowBreaks>
</worksheet>
</file>

<file path=xl/worksheets/sheet2.xml><?xml version="1.0" encoding="utf-8"?>
<worksheet xmlns="http://schemas.openxmlformats.org/spreadsheetml/2006/main">
  <sheetPr filterMode="0">
    <outlinePr summaryBelow="1" summaryRight="1"/>
    <pageSetUpPr fitToPage="0"/>
  </sheetPr>
  <dimension ref="A1:U660"/>
  <sheetViews>
    <sheetView showFormulas="0" showGridLines="1" showRowColHeaders="1" showZeros="1" rightToLeft="0" tabSelected="0" showOutlineSymbols="1" defaultGridColor="1" view="normal" topLeftCell="A165" colorId="64" zoomScale="80" zoomScaleNormal="80" zoomScalePageLayoutView="100" workbookViewId="0">
      <selection pane="topLeft" activeCell="B61" activeCellId="0" sqref="B61"/>
    </sheetView>
  </sheetViews>
  <sheetFormatPr baseColWidth="8" defaultColWidth="13" defaultRowHeight="12.75" zeroHeight="0" outlineLevelRow="0"/>
  <cols>
    <col width="15.81" customWidth="1" style="697" min="1" max="1"/>
    <col width="4.18" customWidth="1" style="763" min="2" max="2"/>
    <col width="14.18" customWidth="1" style="697" min="3" max="3"/>
    <col width="4.81" customWidth="1" style="763" min="4" max="4"/>
    <col width="6.64" customWidth="1" style="763" min="5" max="5"/>
    <col width="4.64" customWidth="1" style="763" min="6" max="6"/>
    <col width="6.45" customWidth="1" style="763" min="7" max="7"/>
    <col width="4.45" customWidth="1" style="763" min="8" max="8"/>
    <col width="6.64" customWidth="1" style="763" min="9" max="9"/>
    <col width="4.64" customWidth="1" style="763" min="10" max="10"/>
    <col width="6.64" customWidth="1" style="763" min="11" max="11"/>
    <col width="4.64" customWidth="1" style="763" min="12" max="12"/>
    <col width="6.64" customWidth="1" style="763" min="13" max="13"/>
    <col width="4.64" customWidth="1" style="763" min="14" max="14"/>
    <col width="1.45" customWidth="1" style="697" min="15" max="15"/>
    <col width="6.18" customWidth="1" style="697" min="16" max="16"/>
    <col width="9.18" customWidth="1" style="697" min="17" max="17"/>
    <col width="6.18" customWidth="1" style="697" min="18" max="19"/>
    <col width="13" customWidth="1" style="697" min="20" max="257"/>
  </cols>
  <sheetData>
    <row r="1" ht="21" customHeight="1" s="614">
      <c r="A1" s="764" t="inlineStr">
        <is>
          <t>機械設備日常点検表（１/２）</t>
        </is>
      </c>
      <c r="B1" s="674" t="n"/>
      <c r="C1" s="765" t="n"/>
      <c r="D1" s="674" t="n"/>
      <c r="E1" s="674" t="n"/>
      <c r="F1" s="674" t="n"/>
      <c r="G1" s="674" t="n"/>
      <c r="H1" s="674" t="n"/>
      <c r="I1" s="674" t="n"/>
      <c r="J1" s="674" t="n"/>
      <c r="K1" s="766" t="inlineStr">
        <is>
          <t>令和8年3月分</t>
        </is>
      </c>
      <c r="L1" s="653" t="n"/>
      <c r="M1" s="653" t="n"/>
      <c r="N1" s="653" t="n"/>
    </row>
    <row r="2" ht="13.5" customHeight="1" s="614">
      <c r="A2" s="767" t="inlineStr">
        <is>
          <t>機　器　名</t>
        </is>
      </c>
      <c r="B2" s="768" t="inlineStr">
        <is>
          <t>No</t>
        </is>
      </c>
      <c r="C2" s="767" t="inlineStr">
        <is>
          <t>点 検 者</t>
        </is>
      </c>
      <c r="D2" s="627" t="n"/>
      <c r="E2" s="767" t="n"/>
      <c r="F2" s="627" t="n"/>
      <c r="G2" s="767" t="n"/>
      <c r="H2" s="627" t="n"/>
      <c r="I2" s="767" t="n"/>
      <c r="J2" s="627" t="n"/>
      <c r="K2" s="767" t="n"/>
      <c r="L2" s="627" t="n"/>
      <c r="M2" s="767" t="n"/>
      <c r="N2" s="627" t="n"/>
    </row>
    <row r="3" ht="13.5" customHeight="1" s="614">
      <c r="A3" s="769" t="n"/>
      <c r="B3" s="769" t="n"/>
      <c r="C3" s="770" t="inlineStr">
        <is>
          <t>点検内容</t>
        </is>
      </c>
      <c r="D3" s="627" t="n"/>
      <c r="E3" s="771" t="n"/>
      <c r="F3" s="627" t="n"/>
      <c r="G3" s="771" t="n"/>
      <c r="H3" s="627" t="n"/>
      <c r="I3" s="771" t="n"/>
      <c r="J3" s="627" t="n"/>
      <c r="K3" s="771" t="n"/>
      <c r="L3" s="627" t="n"/>
      <c r="M3" s="771" t="n"/>
      <c r="N3" s="627" t="n"/>
    </row>
    <row r="4" ht="13.5" customHeight="1" s="614">
      <c r="A4" s="772" t="inlineStr">
        <is>
          <t>ポンプ井</t>
        </is>
      </c>
      <c r="B4" s="768" t="inlineStr">
        <is>
          <t>―</t>
        </is>
      </c>
      <c r="C4" s="773" t="inlineStr">
        <is>
          <t>内部状況確認</t>
        </is>
      </c>
      <c r="D4" s="774" t="n"/>
      <c r="E4" s="775" t="n"/>
      <c r="F4" s="627" t="n"/>
      <c r="G4" s="775" t="n"/>
      <c r="H4" s="627" t="n"/>
      <c r="I4" s="775" t="n"/>
      <c r="J4" s="627" t="n"/>
      <c r="K4" s="775" t="n"/>
      <c r="L4" s="627" t="n"/>
      <c r="M4" s="775" t="n"/>
      <c r="N4" s="627" t="n"/>
    </row>
    <row r="5" ht="13.5" customHeight="1" s="614">
      <c r="A5" s="772" t="inlineStr">
        <is>
          <t>汚水ポンプ</t>
        </is>
      </c>
      <c r="B5" s="768" t="n">
        <v>1</v>
      </c>
      <c r="C5" s="776" t="inlineStr">
        <is>
          <t>電流値</t>
        </is>
      </c>
      <c r="D5" s="777" t="inlineStr">
        <is>
          <t>Ａ</t>
        </is>
      </c>
      <c r="E5" s="778" t="n"/>
      <c r="F5" s="779" t="n"/>
      <c r="G5" s="778" t="n"/>
      <c r="H5" s="779" t="n"/>
      <c r="I5" s="778" t="n"/>
      <c r="J5" s="779" t="n"/>
      <c r="K5" s="778" t="n"/>
      <c r="L5" s="779" t="n"/>
      <c r="M5" s="778" t="n"/>
      <c r="N5" s="779" t="n"/>
    </row>
    <row r="6" ht="13.5" customHeight="1" s="614">
      <c r="A6" s="780" t="n"/>
      <c r="B6" s="780" t="n"/>
      <c r="C6" s="781" t="inlineStr">
        <is>
          <t>吐出圧力</t>
        </is>
      </c>
      <c r="D6" s="782" t="inlineStr">
        <is>
          <t>Mpa</t>
        </is>
      </c>
      <c r="E6" s="783" t="n"/>
      <c r="F6" s="784" t="n"/>
      <c r="G6" s="783" t="n"/>
      <c r="H6" s="784" t="n"/>
      <c r="I6" s="783" t="n"/>
      <c r="J6" s="784" t="n"/>
      <c r="K6" s="783" t="n"/>
      <c r="L6" s="784" t="n"/>
      <c r="M6" s="783" t="n"/>
      <c r="N6" s="784" t="n"/>
    </row>
    <row r="7" ht="13.5" customHeight="1" s="614">
      <c r="A7" s="780" t="n"/>
      <c r="B7" s="769" t="n"/>
      <c r="C7" s="785" t="inlineStr">
        <is>
          <t>異音、振動</t>
        </is>
      </c>
      <c r="D7" s="786" t="n"/>
      <c r="E7" s="787" t="n"/>
      <c r="F7" s="788" t="n"/>
      <c r="G7" s="787" t="n"/>
      <c r="H7" s="788" t="n"/>
      <c r="I7" s="787" t="n"/>
      <c r="J7" s="788" t="n"/>
      <c r="K7" s="787" t="n"/>
      <c r="L7" s="788" t="n"/>
      <c r="M7" s="787" t="n"/>
      <c r="N7" s="788" t="n"/>
    </row>
    <row r="8" ht="13.5" customHeight="1" s="614">
      <c r="A8" s="780" t="n"/>
      <c r="B8" s="768" t="n">
        <v>2</v>
      </c>
      <c r="C8" s="776" t="inlineStr">
        <is>
          <t>電流値</t>
        </is>
      </c>
      <c r="D8" s="777" t="inlineStr">
        <is>
          <t>Ａ</t>
        </is>
      </c>
      <c r="E8" s="778" t="n"/>
      <c r="F8" s="779" t="n"/>
      <c r="G8" s="778" t="n"/>
      <c r="H8" s="779" t="n"/>
      <c r="I8" s="778" t="n"/>
      <c r="J8" s="779" t="n"/>
      <c r="K8" s="778" t="n"/>
      <c r="L8" s="779" t="n"/>
      <c r="M8" s="778" t="n"/>
      <c r="N8" s="779" t="n"/>
    </row>
    <row r="9" ht="13.5" customHeight="1" s="614">
      <c r="A9" s="780" t="n"/>
      <c r="B9" s="780" t="n"/>
      <c r="C9" s="781" t="inlineStr">
        <is>
          <t>吐出圧力</t>
        </is>
      </c>
      <c r="D9" s="782" t="inlineStr">
        <is>
          <t>Mpa</t>
        </is>
      </c>
      <c r="E9" s="783" t="n"/>
      <c r="F9" s="784" t="n"/>
      <c r="G9" s="783" t="n"/>
      <c r="H9" s="784" t="n"/>
      <c r="I9" s="783" t="n"/>
      <c r="J9" s="784" t="n"/>
      <c r="K9" s="783" t="n"/>
      <c r="L9" s="784" t="n"/>
      <c r="M9" s="783" t="n"/>
      <c r="N9" s="784" t="n"/>
      <c r="P9" s="675" t="n"/>
    </row>
    <row r="10" ht="13.5" customHeight="1" s="614">
      <c r="A10" s="780" t="n"/>
      <c r="B10" s="769" t="n"/>
      <c r="C10" s="785">
        <f>C7</f>
        <v/>
      </c>
      <c r="D10" s="786" t="n"/>
      <c r="E10" s="787" t="n"/>
      <c r="F10" s="788" t="n"/>
      <c r="G10" s="787" t="n"/>
      <c r="H10" s="788" t="n"/>
      <c r="I10" s="787" t="n"/>
      <c r="J10" s="788" t="n"/>
      <c r="K10" s="787" t="n"/>
      <c r="L10" s="788" t="n"/>
      <c r="M10" s="787" t="n"/>
      <c r="N10" s="788" t="n"/>
    </row>
    <row r="11" ht="13.5" customHeight="1" s="614">
      <c r="A11" s="780" t="n"/>
      <c r="B11" s="768" t="inlineStr">
        <is>
          <t>―</t>
        </is>
      </c>
      <c r="C11" s="776" t="inlineStr">
        <is>
          <t>モード確認</t>
        </is>
      </c>
      <c r="D11" s="777" t="n"/>
      <c r="E11" s="789" t="n"/>
      <c r="F11" s="779" t="n"/>
      <c r="G11" s="789" t="n"/>
      <c r="H11" s="779" t="n"/>
      <c r="I11" s="789" t="n"/>
      <c r="J11" s="779" t="n"/>
      <c r="K11" s="789" t="n"/>
      <c r="L11" s="779" t="n"/>
      <c r="M11" s="789" t="n"/>
      <c r="N11" s="779" t="n"/>
      <c r="P11" s="790" t="n"/>
      <c r="Q11" s="790" t="n"/>
      <c r="R11" s="790" t="n"/>
    </row>
    <row r="12" ht="13.5" customHeight="1" s="614">
      <c r="A12" s="769" t="n"/>
      <c r="B12" s="769" t="n"/>
      <c r="C12" s="791" t="inlineStr">
        <is>
          <t>常用機選択</t>
        </is>
      </c>
      <c r="D12" s="792" t="n"/>
      <c r="E12" s="793" t="n"/>
      <c r="F12" s="788" t="n"/>
      <c r="G12" s="793" t="n"/>
      <c r="H12" s="788" t="n"/>
      <c r="I12" s="793" t="n"/>
      <c r="J12" s="788" t="n"/>
      <c r="K12" s="793" t="n"/>
      <c r="L12" s="788" t="n"/>
      <c r="M12" s="793" t="n"/>
      <c r="N12" s="788" t="n"/>
      <c r="P12" s="794" t="n"/>
      <c r="Q12" s="794" t="n"/>
      <c r="R12" s="790" t="n"/>
    </row>
    <row r="13" ht="13.5" customHeight="1" s="614">
      <c r="A13" s="795" t="inlineStr">
        <is>
          <t>スクリーンユニット</t>
        </is>
      </c>
      <c r="B13" s="796" t="n"/>
      <c r="C13" s="781" t="inlineStr">
        <is>
          <t>異音、振動</t>
        </is>
      </c>
      <c r="D13" s="782" t="n"/>
      <c r="E13" s="797" t="n"/>
      <c r="F13" s="779" t="n"/>
      <c r="G13" s="797" t="n"/>
      <c r="H13" s="779" t="n"/>
      <c r="I13" s="797" t="n"/>
      <c r="J13" s="779" t="n"/>
      <c r="K13" s="797" t="n"/>
      <c r="L13" s="779" t="n"/>
      <c r="M13" s="797" t="n"/>
      <c r="N13" s="779" t="n"/>
      <c r="S13" s="790" t="n"/>
    </row>
    <row r="14" ht="13.5" customHeight="1" s="614">
      <c r="A14" s="780" t="n"/>
      <c r="B14" s="780" t="n"/>
      <c r="C14" s="781" t="inlineStr">
        <is>
          <t>し渣量の確認</t>
        </is>
      </c>
      <c r="D14" s="782" t="n"/>
      <c r="E14" s="798" t="n"/>
      <c r="F14" s="784" t="n"/>
      <c r="G14" s="798" t="n"/>
      <c r="H14" s="784" t="n"/>
      <c r="I14" s="798" t="n"/>
      <c r="J14" s="784" t="n"/>
      <c r="K14" s="798" t="n"/>
      <c r="L14" s="784" t="n"/>
      <c r="M14" s="798" t="n"/>
      <c r="N14" s="784" t="n"/>
      <c r="P14" s="712" t="n"/>
      <c r="Q14" s="712" t="n"/>
      <c r="R14" s="790" t="n"/>
    </row>
    <row r="15" ht="13.5" customHeight="1" s="614">
      <c r="A15" s="769" t="n"/>
      <c r="B15" s="769" t="n"/>
      <c r="C15" s="785" t="inlineStr">
        <is>
          <t>運転動作</t>
        </is>
      </c>
      <c r="D15" s="786" t="n"/>
      <c r="E15" s="787" t="n"/>
      <c r="F15" s="788" t="n"/>
      <c r="G15" s="787" t="n"/>
      <c r="H15" s="788" t="n"/>
      <c r="I15" s="787" t="n"/>
      <c r="J15" s="788" t="n"/>
      <c r="K15" s="787" t="n"/>
      <c r="L15" s="788" t="n"/>
      <c r="M15" s="787" t="n"/>
      <c r="N15" s="788" t="n"/>
      <c r="P15" s="790" t="n"/>
      <c r="Q15" s="790" t="n"/>
    </row>
    <row r="16" ht="13.5" customHeight="1" s="614">
      <c r="A16" s="799" t="inlineStr">
        <is>
          <t>エアレーション装置</t>
        </is>
      </c>
      <c r="B16" s="800" t="inlineStr">
        <is>
          <t>1-1</t>
        </is>
      </c>
      <c r="C16" s="776" t="inlineStr">
        <is>
          <t>電流値</t>
        </is>
      </c>
      <c r="D16" s="777" t="inlineStr">
        <is>
          <t>Ａ</t>
        </is>
      </c>
      <c r="E16" s="778" t="n"/>
      <c r="F16" s="779" t="n"/>
      <c r="G16" s="778" t="n"/>
      <c r="H16" s="779" t="n"/>
      <c r="I16" s="778" t="n"/>
      <c r="J16" s="779" t="n"/>
      <c r="K16" s="778" t="n"/>
      <c r="L16" s="779" t="n"/>
      <c r="M16" s="778" t="n"/>
      <c r="N16" s="779" t="n"/>
    </row>
    <row r="17" ht="13.5" customHeight="1" s="614">
      <c r="A17" s="780" t="n"/>
      <c r="B17" s="780" t="n"/>
      <c r="C17" s="781">
        <f>C13</f>
        <v/>
      </c>
      <c r="D17" s="782" t="n"/>
      <c r="E17" s="783" t="n"/>
      <c r="F17" s="784" t="n"/>
      <c r="G17" s="783" t="n"/>
      <c r="H17" s="784" t="n"/>
      <c r="I17" s="783" t="n"/>
      <c r="J17" s="784" t="n"/>
      <c r="K17" s="783" t="n"/>
      <c r="L17" s="784" t="n"/>
      <c r="M17" s="783" t="n"/>
      <c r="N17" s="784" t="n"/>
    </row>
    <row r="18" ht="13.5" customHeight="1" s="614">
      <c r="A18" s="780" t="n"/>
      <c r="B18" s="769" t="n"/>
      <c r="C18" s="785">
        <f>C11</f>
        <v/>
      </c>
      <c r="D18" s="786" t="n"/>
      <c r="E18" s="793" t="n"/>
      <c r="F18" s="788" t="n"/>
      <c r="G18" s="793" t="n"/>
      <c r="H18" s="788" t="n"/>
      <c r="I18" s="793" t="n"/>
      <c r="J18" s="788" t="n"/>
      <c r="K18" s="793" t="n"/>
      <c r="L18" s="788" t="n"/>
      <c r="M18" s="793" t="n"/>
      <c r="N18" s="788" t="n"/>
    </row>
    <row r="19" ht="13.5" customHeight="1" s="614">
      <c r="A19" s="780" t="n"/>
      <c r="B19" s="800" t="inlineStr">
        <is>
          <t>1-2</t>
        </is>
      </c>
      <c r="C19" s="776" t="inlineStr">
        <is>
          <t>電流値</t>
        </is>
      </c>
      <c r="D19" s="777" t="inlineStr">
        <is>
          <t>Ａ</t>
        </is>
      </c>
      <c r="E19" s="778" t="n"/>
      <c r="F19" s="779" t="n"/>
      <c r="G19" s="778" t="n"/>
      <c r="H19" s="779" t="n"/>
      <c r="I19" s="778" t="n"/>
      <c r="J19" s="779" t="n"/>
      <c r="K19" s="778" t="n"/>
      <c r="L19" s="779" t="n"/>
      <c r="M19" s="778" t="n"/>
      <c r="N19" s="779" t="n"/>
    </row>
    <row r="20" ht="13.5" customHeight="1" s="614">
      <c r="A20" s="780" t="n"/>
      <c r="B20" s="780" t="n"/>
      <c r="C20" s="781">
        <f>C17</f>
        <v/>
      </c>
      <c r="D20" s="782" t="n"/>
      <c r="E20" s="783" t="n"/>
      <c r="F20" s="784" t="n"/>
      <c r="G20" s="783" t="n"/>
      <c r="H20" s="784" t="n"/>
      <c r="I20" s="783" t="n"/>
      <c r="J20" s="784" t="n"/>
      <c r="K20" s="783" t="n"/>
      <c r="L20" s="784" t="n"/>
      <c r="M20" s="783" t="n"/>
      <c r="N20" s="784" t="n"/>
    </row>
    <row r="21" ht="13.5" customHeight="1" s="614">
      <c r="A21" s="780" t="n"/>
      <c r="B21" s="769" t="n"/>
      <c r="C21" s="785">
        <f>C18</f>
        <v/>
      </c>
      <c r="D21" s="786" t="n"/>
      <c r="E21" s="793" t="n"/>
      <c r="F21" s="788" t="n"/>
      <c r="G21" s="793" t="n"/>
      <c r="H21" s="788" t="n"/>
      <c r="I21" s="793" t="n"/>
      <c r="J21" s="788" t="n"/>
      <c r="K21" s="793" t="n"/>
      <c r="L21" s="788" t="n"/>
      <c r="M21" s="793" t="n"/>
      <c r="N21" s="788" t="n"/>
    </row>
    <row r="22" ht="13.5" customHeight="1" s="614">
      <c r="A22" s="799" t="inlineStr">
        <is>
          <t>曝気ブロワー</t>
        </is>
      </c>
      <c r="B22" s="801" t="inlineStr">
        <is>
          <t>№１</t>
        </is>
      </c>
      <c r="C22" s="776" t="inlineStr">
        <is>
          <t>電流値</t>
        </is>
      </c>
      <c r="D22" s="777" t="inlineStr">
        <is>
          <t>Ａ</t>
        </is>
      </c>
      <c r="E22" s="778" t="n"/>
      <c r="F22" s="779" t="n"/>
      <c r="G22" s="778" t="n"/>
      <c r="H22" s="779" t="n"/>
      <c r="I22" s="778" t="n"/>
      <c r="J22" s="779" t="n"/>
      <c r="K22" s="778" t="n"/>
      <c r="L22" s="779" t="n"/>
      <c r="M22" s="778" t="n"/>
      <c r="N22" s="779" t="n"/>
    </row>
    <row r="23" ht="13.5" customHeight="1" s="614">
      <c r="A23" s="780" t="n"/>
      <c r="B23" s="780" t="n"/>
      <c r="C23" s="781">
        <f>C20</f>
        <v/>
      </c>
      <c r="D23" s="782" t="n"/>
      <c r="E23" s="798" t="n"/>
      <c r="F23" s="784" t="n"/>
      <c r="G23" s="798" t="n"/>
      <c r="H23" s="784" t="n"/>
      <c r="I23" s="798" t="n"/>
      <c r="J23" s="784" t="n"/>
      <c r="K23" s="798" t="n"/>
      <c r="L23" s="784" t="n"/>
      <c r="M23" s="798" t="n"/>
      <c r="N23" s="784" t="n"/>
    </row>
    <row r="24" ht="13.5" customHeight="1" s="614">
      <c r="A24" s="780" t="n"/>
      <c r="B24" s="769" t="n"/>
      <c r="C24" s="785">
        <f>C21</f>
        <v/>
      </c>
      <c r="D24" s="786" t="n"/>
      <c r="E24" s="802" t="n"/>
      <c r="F24" s="788" t="n"/>
      <c r="G24" s="802" t="n"/>
      <c r="H24" s="788" t="n"/>
      <c r="I24" s="802" t="n"/>
      <c r="J24" s="788" t="n"/>
      <c r="K24" s="802" t="n"/>
      <c r="L24" s="788" t="n"/>
      <c r="M24" s="802" t="n"/>
      <c r="N24" s="788" t="n"/>
    </row>
    <row r="25" ht="13.5" customHeight="1" s="614">
      <c r="A25" s="780" t="n"/>
      <c r="B25" s="801" t="inlineStr">
        <is>
          <t>№２</t>
        </is>
      </c>
      <c r="C25" s="776" t="inlineStr">
        <is>
          <t>電流値</t>
        </is>
      </c>
      <c r="D25" s="777" t="inlineStr">
        <is>
          <t>Ａ</t>
        </is>
      </c>
      <c r="E25" s="778" t="n"/>
      <c r="F25" s="779" t="n"/>
      <c r="G25" s="778" t="n"/>
      <c r="H25" s="779" t="n"/>
      <c r="I25" s="778" t="n"/>
      <c r="J25" s="779" t="n"/>
      <c r="K25" s="778" t="n"/>
      <c r="L25" s="779" t="n"/>
      <c r="M25" s="778" t="n"/>
      <c r="N25" s="779" t="n"/>
    </row>
    <row r="26" ht="13.5" customHeight="1" s="614">
      <c r="A26" s="780" t="n"/>
      <c r="B26" s="780" t="n"/>
      <c r="C26" s="781">
        <f>C23</f>
        <v/>
      </c>
      <c r="D26" s="782" t="n"/>
      <c r="E26" s="783" t="n"/>
      <c r="F26" s="784" t="n"/>
      <c r="G26" s="783" t="n"/>
      <c r="H26" s="784" t="n"/>
      <c r="I26" s="783" t="n"/>
      <c r="J26" s="784" t="n"/>
      <c r="K26" s="783" t="n"/>
      <c r="L26" s="784" t="n"/>
      <c r="M26" s="783" t="n"/>
      <c r="N26" s="784" t="n"/>
    </row>
    <row r="27" ht="13.5" customHeight="1" s="614">
      <c r="A27" s="780" t="n"/>
      <c r="B27" s="769" t="n"/>
      <c r="C27" s="785">
        <f>C24</f>
        <v/>
      </c>
      <c r="D27" s="786" t="n"/>
      <c r="E27" s="803" t="n"/>
      <c r="F27" s="788" t="n"/>
      <c r="G27" s="803" t="n"/>
      <c r="H27" s="788" t="n"/>
      <c r="I27" s="803" t="n"/>
      <c r="J27" s="788" t="n"/>
      <c r="K27" s="803" t="n"/>
      <c r="L27" s="788" t="n"/>
      <c r="M27" s="803" t="n"/>
      <c r="N27" s="788" t="n"/>
    </row>
    <row r="28" ht="13.5" customHeight="1" s="614">
      <c r="A28" s="772" t="inlineStr">
        <is>
          <t>消泡装置</t>
        </is>
      </c>
      <c r="B28" s="768" t="inlineStr">
        <is>
          <t>―</t>
        </is>
      </c>
      <c r="C28" s="776" t="inlineStr">
        <is>
          <t>消泡ノズル</t>
        </is>
      </c>
      <c r="D28" s="777" t="n"/>
      <c r="E28" s="797" t="n"/>
      <c r="F28" s="779" t="n"/>
      <c r="G28" s="797" t="n"/>
      <c r="H28" s="779" t="n"/>
      <c r="I28" s="797" t="n"/>
      <c r="J28" s="779" t="n"/>
      <c r="K28" s="797" t="n"/>
      <c r="L28" s="779" t="n"/>
      <c r="M28" s="797" t="n"/>
      <c r="N28" s="779" t="n"/>
    </row>
    <row r="29" ht="13.5" customHeight="1" s="614">
      <c r="A29" s="769" t="n"/>
      <c r="B29" s="769" t="n"/>
      <c r="C29" s="791" t="inlineStr">
        <is>
          <t>消泡状態</t>
        </is>
      </c>
      <c r="D29" s="792" t="n"/>
      <c r="E29" s="787" t="n"/>
      <c r="F29" s="788" t="n"/>
      <c r="G29" s="787" t="n"/>
      <c r="H29" s="788" t="n"/>
      <c r="I29" s="787" t="n"/>
      <c r="J29" s="788" t="n"/>
      <c r="K29" s="787" t="n"/>
      <c r="L29" s="788" t="n"/>
      <c r="M29" s="787" t="n"/>
      <c r="N29" s="788" t="n"/>
    </row>
    <row r="30" ht="13.5" customHeight="1" s="614">
      <c r="A30" s="799" t="inlineStr">
        <is>
          <t>ディッチ流出可動堰</t>
        </is>
      </c>
      <c r="B30" s="804" t="n">
        <v>1</v>
      </c>
      <c r="C30" s="776" t="inlineStr">
        <is>
          <t>開度</t>
        </is>
      </c>
      <c r="D30" s="777" t="inlineStr">
        <is>
          <t>㎜</t>
        </is>
      </c>
      <c r="E30" s="775" t="n"/>
      <c r="F30" s="627" t="n"/>
      <c r="G30" s="775" t="n"/>
      <c r="H30" s="627" t="n"/>
      <c r="I30" s="775" t="n"/>
      <c r="J30" s="627" t="n"/>
      <c r="K30" s="775" t="n"/>
      <c r="L30" s="627" t="n"/>
      <c r="M30" s="775" t="n"/>
      <c r="N30" s="627" t="n"/>
    </row>
    <row r="31" ht="13.5" customHeight="1" s="614">
      <c r="A31" s="799" t="inlineStr">
        <is>
          <t>ディッチ流出ゲート</t>
        </is>
      </c>
      <c r="B31" s="804" t="n">
        <v>1</v>
      </c>
      <c r="C31" s="776" t="inlineStr">
        <is>
          <t>開度</t>
        </is>
      </c>
      <c r="D31" s="777" t="inlineStr">
        <is>
          <t>㎜</t>
        </is>
      </c>
      <c r="E31" s="775" t="n"/>
      <c r="F31" s="627" t="n"/>
      <c r="G31" s="775" t="n"/>
      <c r="H31" s="627" t="n"/>
      <c r="I31" s="775" t="n"/>
      <c r="J31" s="627" t="n"/>
      <c r="K31" s="775" t="n"/>
      <c r="L31" s="627" t="n"/>
      <c r="M31" s="775" t="n"/>
      <c r="N31" s="627" t="n"/>
    </row>
    <row r="32" ht="13.5" customHeight="1" s="614">
      <c r="A32" s="772" t="inlineStr">
        <is>
          <t>ディッチ連絡ゲート</t>
        </is>
      </c>
      <c r="B32" s="767" t="inlineStr">
        <is>
          <t>－</t>
        </is>
      </c>
      <c r="C32" s="773" t="inlineStr">
        <is>
          <t>開度</t>
        </is>
      </c>
      <c r="D32" s="805" t="inlineStr">
        <is>
          <t>㎜</t>
        </is>
      </c>
      <c r="E32" s="775" t="n"/>
      <c r="F32" s="627" t="n"/>
      <c r="G32" s="775" t="n"/>
      <c r="H32" s="627" t="n"/>
      <c r="I32" s="775" t="n"/>
      <c r="J32" s="627" t="n"/>
      <c r="K32" s="775" t="n"/>
      <c r="L32" s="627" t="n"/>
      <c r="M32" s="775" t="n"/>
      <c r="N32" s="627" t="n"/>
    </row>
    <row r="33" ht="13.5" customHeight="1" s="614">
      <c r="A33" s="799" t="inlineStr">
        <is>
          <t>終沈汚泥掻寄機</t>
        </is>
      </c>
      <c r="B33" s="767" t="n">
        <v>1</v>
      </c>
      <c r="C33" s="776" t="inlineStr">
        <is>
          <t>電流値</t>
        </is>
      </c>
      <c r="D33" s="777" t="inlineStr">
        <is>
          <t>Ａ</t>
        </is>
      </c>
      <c r="E33" s="806" t="n"/>
      <c r="F33" s="779" t="n"/>
      <c r="G33" s="806" t="n"/>
      <c r="H33" s="779" t="n"/>
      <c r="I33" s="806" t="n"/>
      <c r="J33" s="779" t="n"/>
      <c r="K33" s="806" t="n"/>
      <c r="L33" s="779" t="n"/>
      <c r="M33" s="806" t="n"/>
      <c r="N33" s="779" t="n"/>
    </row>
    <row r="34" ht="13.5" customHeight="1" s="614">
      <c r="A34" s="780" t="n"/>
      <c r="B34" s="769" t="n"/>
      <c r="C34" s="791" t="inlineStr">
        <is>
          <t>異音、振動等</t>
        </is>
      </c>
      <c r="D34" s="792" t="n"/>
      <c r="E34" s="787" t="n"/>
      <c r="F34" s="788" t="n"/>
      <c r="G34" s="787" t="n"/>
      <c r="H34" s="788" t="n"/>
      <c r="I34" s="787" t="n"/>
      <c r="J34" s="788" t="n"/>
      <c r="K34" s="787" t="n"/>
      <c r="L34" s="788" t="n"/>
      <c r="M34" s="787" t="n"/>
      <c r="N34" s="788" t="n"/>
    </row>
    <row r="35" ht="13.5" customHeight="1" s="614">
      <c r="A35" s="772" t="inlineStr">
        <is>
          <t>スカムスキマー</t>
        </is>
      </c>
      <c r="B35" s="767" t="n">
        <v>1</v>
      </c>
      <c r="C35" s="776" t="inlineStr">
        <is>
          <t>動作状況</t>
        </is>
      </c>
      <c r="D35" s="777" t="n"/>
      <c r="E35" s="797" t="n"/>
      <c r="F35" s="779" t="n"/>
      <c r="G35" s="797" t="n"/>
      <c r="H35" s="779" t="n"/>
      <c r="I35" s="797" t="n"/>
      <c r="J35" s="779" t="n"/>
      <c r="K35" s="797" t="n"/>
      <c r="L35" s="779" t="n"/>
      <c r="M35" s="797" t="n"/>
      <c r="N35" s="779" t="n"/>
    </row>
    <row r="36" ht="13.5" customHeight="1" s="614">
      <c r="A36" s="769" t="n"/>
      <c r="B36" s="769" t="n"/>
      <c r="C36" s="791" t="inlineStr">
        <is>
          <t>スカムの状況</t>
        </is>
      </c>
      <c r="D36" s="792" t="n"/>
      <c r="E36" s="793" t="n"/>
      <c r="F36" s="788" t="n"/>
      <c r="G36" s="793" t="n"/>
      <c r="H36" s="788" t="n"/>
      <c r="I36" s="793" t="n"/>
      <c r="J36" s="788" t="n"/>
      <c r="K36" s="793" t="n"/>
      <c r="L36" s="788" t="n"/>
      <c r="M36" s="793" t="n"/>
      <c r="N36" s="788" t="n"/>
    </row>
    <row r="37" ht="13.5" customHeight="1" s="614">
      <c r="A37" s="807" t="inlineStr">
        <is>
          <t>返送汚泥ポンプ</t>
        </is>
      </c>
      <c r="B37" s="808" t="inlineStr">
        <is>
          <t>1-1</t>
        </is>
      </c>
      <c r="C37" s="809" t="inlineStr">
        <is>
          <t>電流値</t>
        </is>
      </c>
      <c r="D37" s="810" t="inlineStr">
        <is>
          <t>Ａ</t>
        </is>
      </c>
      <c r="E37" s="778" t="n"/>
      <c r="F37" s="779" t="n"/>
      <c r="G37" s="778" t="n"/>
      <c r="H37" s="779" t="n"/>
      <c r="I37" s="778" t="n"/>
      <c r="J37" s="779" t="n"/>
      <c r="K37" s="778" t="n"/>
      <c r="L37" s="779" t="n"/>
      <c r="M37" s="778" t="n"/>
      <c r="N37" s="779" t="n"/>
      <c r="Q37" s="811" t="n"/>
    </row>
    <row r="38" ht="13.5" customHeight="1" s="614">
      <c r="A38" s="780" t="n"/>
      <c r="B38" s="780" t="n"/>
      <c r="C38" s="781" t="inlineStr">
        <is>
          <t>吐出圧力</t>
        </is>
      </c>
      <c r="D38" s="782" t="inlineStr">
        <is>
          <t>Mpa</t>
        </is>
      </c>
      <c r="E38" s="783" t="n"/>
      <c r="F38" s="784" t="n"/>
      <c r="G38" s="783" t="n"/>
      <c r="H38" s="784" t="n"/>
      <c r="I38" s="783" t="n"/>
      <c r="J38" s="784" t="n"/>
      <c r="K38" s="783" t="n"/>
      <c r="L38" s="784" t="n"/>
      <c r="M38" s="783" t="n"/>
      <c r="N38" s="784" t="n"/>
      <c r="Q38" s="812" t="n"/>
    </row>
    <row r="39" ht="13.5" customHeight="1" s="614">
      <c r="A39" s="780" t="n"/>
      <c r="B39" s="769" t="n"/>
      <c r="C39" s="785" t="inlineStr">
        <is>
          <t>異音、振動</t>
        </is>
      </c>
      <c r="D39" s="786" t="n"/>
      <c r="E39" s="793" t="n"/>
      <c r="F39" s="788" t="n"/>
      <c r="G39" s="793" t="n"/>
      <c r="H39" s="788" t="n"/>
      <c r="I39" s="793" t="n"/>
      <c r="J39" s="788" t="n"/>
      <c r="K39" s="793" t="n"/>
      <c r="L39" s="788" t="n"/>
      <c r="M39" s="793" t="n"/>
      <c r="N39" s="788" t="n"/>
      <c r="Q39" s="813" t="n"/>
    </row>
    <row r="40" ht="13.5" customHeight="1" s="614">
      <c r="A40" s="780" t="n"/>
      <c r="B40" s="800" t="inlineStr">
        <is>
          <t>1-2</t>
        </is>
      </c>
      <c r="C40" s="776" t="inlineStr">
        <is>
          <t>電流値</t>
        </is>
      </c>
      <c r="D40" s="777" t="inlineStr">
        <is>
          <t>Ａ</t>
        </is>
      </c>
      <c r="E40" s="778" t="n"/>
      <c r="F40" s="779" t="n"/>
      <c r="G40" s="778" t="n"/>
      <c r="H40" s="779" t="n"/>
      <c r="I40" s="778" t="n"/>
      <c r="J40" s="779" t="n"/>
      <c r="K40" s="778" t="n"/>
      <c r="L40" s="779" t="n"/>
      <c r="M40" s="778" t="n"/>
      <c r="N40" s="779" t="n"/>
    </row>
    <row r="41" ht="13.5" customHeight="1" s="614">
      <c r="A41" s="780" t="n"/>
      <c r="B41" s="780" t="n"/>
      <c r="C41" s="781">
        <f>C38</f>
        <v/>
      </c>
      <c r="D41" s="782" t="inlineStr">
        <is>
          <t>Mpa</t>
        </is>
      </c>
      <c r="E41" s="783" t="n"/>
      <c r="F41" s="784" t="n"/>
      <c r="G41" s="783" t="n"/>
      <c r="H41" s="784" t="n"/>
      <c r="I41" s="783" t="n"/>
      <c r="J41" s="784" t="n"/>
      <c r="K41" s="783" t="n"/>
      <c r="L41" s="784" t="n"/>
      <c r="M41" s="783" t="n"/>
      <c r="N41" s="784" t="n"/>
    </row>
    <row r="42" ht="13.5" customHeight="1" s="614">
      <c r="A42" s="780" t="n"/>
      <c r="B42" s="769" t="n"/>
      <c r="C42" s="785" t="inlineStr">
        <is>
          <t>異音、振動</t>
        </is>
      </c>
      <c r="D42" s="786" t="n"/>
      <c r="E42" s="787" t="n"/>
      <c r="F42" s="788" t="n"/>
      <c r="G42" s="787" t="n"/>
      <c r="H42" s="788" t="n"/>
      <c r="I42" s="787" t="n"/>
      <c r="J42" s="788" t="n"/>
      <c r="K42" s="787" t="n"/>
      <c r="L42" s="788" t="n"/>
      <c r="M42" s="787" t="n"/>
      <c r="N42" s="788" t="n"/>
    </row>
    <row r="43" ht="13.5" customHeight="1" s="614">
      <c r="A43" s="780" t="n"/>
      <c r="B43" s="800" t="inlineStr">
        <is>
          <t>―</t>
        </is>
      </c>
      <c r="C43" s="776" t="inlineStr">
        <is>
          <t>モード確認</t>
        </is>
      </c>
      <c r="D43" s="777" t="n"/>
      <c r="E43" s="789" t="n"/>
      <c r="F43" s="779" t="n"/>
      <c r="G43" s="789" t="n"/>
      <c r="H43" s="779" t="n"/>
      <c r="I43" s="789" t="n"/>
      <c r="J43" s="779" t="n"/>
      <c r="K43" s="789" t="n"/>
      <c r="L43" s="779" t="n"/>
      <c r="M43" s="789" t="n"/>
      <c r="N43" s="779" t="n"/>
    </row>
    <row r="44" ht="13.5" customHeight="1" s="614">
      <c r="A44" s="780" t="n"/>
      <c r="B44" s="769" t="n"/>
      <c r="C44" s="791" t="inlineStr">
        <is>
          <t>常用機選択</t>
        </is>
      </c>
      <c r="D44" s="792" t="n"/>
      <c r="E44" s="793" t="n"/>
      <c r="F44" s="788" t="n"/>
      <c r="G44" s="793" t="n"/>
      <c r="H44" s="788" t="n"/>
      <c r="I44" s="793" t="n"/>
      <c r="J44" s="788" t="n"/>
      <c r="K44" s="793" t="n"/>
      <c r="L44" s="788" t="n"/>
      <c r="M44" s="793" t="n"/>
      <c r="N44" s="788" t="n"/>
      <c r="P44" s="814" t="n"/>
      <c r="Q44" s="814" t="n"/>
      <c r="R44" s="712" t="n"/>
      <c r="S44" s="712" t="n"/>
    </row>
    <row r="45" ht="13.5" customHeight="1" s="614">
      <c r="A45" s="799" t="inlineStr">
        <is>
          <t>余剰汚泥ポンプ</t>
        </is>
      </c>
      <c r="B45" s="768" t="n">
        <v>1</v>
      </c>
      <c r="C45" s="776" t="inlineStr">
        <is>
          <t>電流値</t>
        </is>
      </c>
      <c r="D45" s="777" t="inlineStr">
        <is>
          <t>Ａ</t>
        </is>
      </c>
      <c r="E45" s="778" t="n"/>
      <c r="F45" s="779" t="n"/>
      <c r="G45" s="778" t="n"/>
      <c r="H45" s="779" t="n"/>
      <c r="I45" s="778" t="n"/>
      <c r="J45" s="779" t="n"/>
      <c r="K45" s="778" t="n"/>
      <c r="L45" s="779" t="n"/>
      <c r="M45" s="778" t="n"/>
      <c r="N45" s="779" t="n"/>
    </row>
    <row r="46" ht="13.5" customHeight="1" s="614">
      <c r="A46" s="780" t="n"/>
      <c r="B46" s="780" t="n"/>
      <c r="C46" s="781">
        <f>C41</f>
        <v/>
      </c>
      <c r="D46" s="782" t="inlineStr">
        <is>
          <t>Mpa</t>
        </is>
      </c>
      <c r="E46" s="815" t="n"/>
      <c r="F46" s="784" t="n"/>
      <c r="G46" s="815" t="n"/>
      <c r="H46" s="784" t="n"/>
      <c r="I46" s="815" t="n"/>
      <c r="J46" s="784" t="n"/>
      <c r="K46" s="815" t="n"/>
      <c r="L46" s="784" t="n"/>
      <c r="M46" s="815" t="n"/>
      <c r="N46" s="784" t="n"/>
    </row>
    <row r="47" ht="13.5" customHeight="1" s="614">
      <c r="A47" s="780" t="n"/>
      <c r="B47" s="780" t="n"/>
      <c r="C47" s="809" t="inlineStr">
        <is>
          <t>異音、振動</t>
        </is>
      </c>
      <c r="D47" s="810" t="n"/>
      <c r="E47" s="816" t="n"/>
      <c r="F47" s="784" t="n"/>
      <c r="G47" s="815" t="n"/>
      <c r="H47" s="784" t="n"/>
      <c r="I47" s="815" t="n"/>
      <c r="J47" s="784" t="n"/>
      <c r="K47" s="815" t="n"/>
      <c r="L47" s="784" t="n"/>
      <c r="M47" s="815" t="n"/>
      <c r="N47" s="784" t="n"/>
    </row>
    <row r="48" ht="13.5" customHeight="1" s="614">
      <c r="A48" s="780" t="n"/>
      <c r="B48" s="780" t="n"/>
      <c r="C48" s="781" t="inlineStr">
        <is>
          <t>液漏れ</t>
        </is>
      </c>
      <c r="D48" s="782" t="n"/>
      <c r="E48" s="816" t="n"/>
      <c r="F48" s="784" t="n"/>
      <c r="G48" s="816" t="n"/>
      <c r="H48" s="784" t="n"/>
      <c r="I48" s="816" t="n"/>
      <c r="J48" s="784" t="n"/>
      <c r="K48" s="816" t="n"/>
      <c r="L48" s="784" t="n"/>
      <c r="M48" s="816" t="n"/>
      <c r="N48" s="784" t="n"/>
    </row>
    <row r="49" ht="13.5" customHeight="1" s="614">
      <c r="A49" s="780" t="n"/>
      <c r="B49" s="769" t="n"/>
      <c r="C49" s="785" t="inlineStr">
        <is>
          <t>モード確認</t>
        </is>
      </c>
      <c r="D49" s="786" t="n"/>
      <c r="E49" s="817" t="n"/>
      <c r="F49" s="788" t="n"/>
      <c r="G49" s="817" t="n"/>
      <c r="H49" s="788" t="n"/>
      <c r="I49" s="817" t="n"/>
      <c r="J49" s="788" t="n"/>
      <c r="K49" s="817" t="n"/>
      <c r="L49" s="788" t="n"/>
      <c r="M49" s="817" t="n"/>
      <c r="N49" s="788" t="n"/>
    </row>
    <row r="50" ht="13.5" customHeight="1" s="614">
      <c r="A50" s="818" t="inlineStr">
        <is>
          <t>床排水ポンプ</t>
        </is>
      </c>
      <c r="B50" s="768" t="n">
        <v>1</v>
      </c>
      <c r="C50" s="776" t="inlineStr">
        <is>
          <t>電流値</t>
        </is>
      </c>
      <c r="D50" s="777" t="inlineStr">
        <is>
          <t>Ａ</t>
        </is>
      </c>
      <c r="E50" s="778" t="n"/>
      <c r="F50" s="779" t="n"/>
      <c r="G50" s="778" t="n"/>
      <c r="H50" s="779" t="n"/>
      <c r="I50" s="778" t="n"/>
      <c r="J50" s="779" t="n"/>
      <c r="K50" s="778" t="n"/>
      <c r="L50" s="779" t="n"/>
      <c r="M50" s="778" t="n"/>
      <c r="N50" s="779" t="n"/>
    </row>
    <row r="51" ht="13.5" customHeight="1" s="614">
      <c r="A51" s="780" t="n"/>
      <c r="B51" s="780" t="n"/>
      <c r="C51" s="781" t="inlineStr">
        <is>
          <t>吐出圧力</t>
        </is>
      </c>
      <c r="D51" s="782" t="inlineStr">
        <is>
          <t>Mpa</t>
        </is>
      </c>
      <c r="E51" s="783" t="n"/>
      <c r="F51" s="784" t="n"/>
      <c r="G51" s="783" t="n"/>
      <c r="H51" s="784" t="n"/>
      <c r="I51" s="783" t="n"/>
      <c r="J51" s="784" t="n"/>
      <c r="K51" s="783" t="n"/>
      <c r="L51" s="784" t="n"/>
      <c r="M51" s="783" t="n"/>
      <c r="N51" s="784" t="n"/>
    </row>
    <row r="52" ht="13.5" customHeight="1" s="614">
      <c r="A52" s="780" t="n"/>
      <c r="B52" s="769" t="n"/>
      <c r="C52" s="785" t="inlineStr">
        <is>
          <t>異音、振動</t>
        </is>
      </c>
      <c r="D52" s="819" t="n"/>
      <c r="E52" s="793" t="n"/>
      <c r="F52" s="788" t="n"/>
      <c r="G52" s="793" t="n"/>
      <c r="H52" s="788" t="n"/>
      <c r="I52" s="793" t="n"/>
      <c r="J52" s="788" t="n"/>
      <c r="K52" s="793" t="n"/>
      <c r="L52" s="788" t="n"/>
      <c r="M52" s="793" t="n"/>
      <c r="N52" s="788" t="n"/>
    </row>
    <row r="53" ht="13.5" customHeight="1" s="614">
      <c r="A53" s="780" t="n"/>
      <c r="B53" s="768" t="n">
        <v>1</v>
      </c>
      <c r="C53" s="776" t="inlineStr">
        <is>
          <t>電流値</t>
        </is>
      </c>
      <c r="D53" s="777" t="inlineStr">
        <is>
          <t>Ａ</t>
        </is>
      </c>
      <c r="E53" s="778" t="n"/>
      <c r="F53" s="779" t="n"/>
      <c r="G53" s="778" t="n"/>
      <c r="H53" s="779" t="n"/>
      <c r="I53" s="778" t="n"/>
      <c r="J53" s="779" t="n"/>
      <c r="K53" s="778" t="n"/>
      <c r="L53" s="779" t="n"/>
      <c r="M53" s="778" t="n"/>
      <c r="N53" s="779" t="n"/>
    </row>
    <row r="54" ht="13.5" customHeight="1" s="614">
      <c r="A54" s="780" t="n"/>
      <c r="B54" s="780" t="n"/>
      <c r="C54" s="781" t="inlineStr">
        <is>
          <t>吐出圧力</t>
        </is>
      </c>
      <c r="D54" s="782" t="inlineStr">
        <is>
          <t>Mpa</t>
        </is>
      </c>
      <c r="E54" s="783" t="n"/>
      <c r="F54" s="784" t="n"/>
      <c r="G54" s="783" t="n"/>
      <c r="H54" s="784" t="n"/>
      <c r="I54" s="783" t="n"/>
      <c r="J54" s="784" t="n"/>
      <c r="K54" s="783" t="n"/>
      <c r="L54" s="784" t="n"/>
      <c r="M54" s="783" t="n"/>
      <c r="N54" s="784" t="n"/>
    </row>
    <row r="55" ht="13.5" customHeight="1" s="614">
      <c r="A55" s="780" t="n"/>
      <c r="B55" s="769" t="n"/>
      <c r="C55" s="785" t="inlineStr">
        <is>
          <t>異音、振動</t>
        </is>
      </c>
      <c r="D55" s="819" t="n"/>
      <c r="E55" s="793" t="n"/>
      <c r="F55" s="788" t="n"/>
      <c r="G55" s="793" t="n"/>
      <c r="H55" s="788" t="n"/>
      <c r="I55" s="793" t="n"/>
      <c r="J55" s="788" t="n"/>
      <c r="K55" s="793" t="n"/>
      <c r="L55" s="788" t="n"/>
      <c r="M55" s="793" t="n"/>
      <c r="N55" s="788" t="n"/>
    </row>
    <row r="56" ht="13.5" customHeight="1" s="614">
      <c r="A56" s="780" t="n"/>
      <c r="B56" s="800" t="inlineStr">
        <is>
          <t>―</t>
        </is>
      </c>
      <c r="C56" s="776" t="inlineStr">
        <is>
          <t>モード確認</t>
        </is>
      </c>
      <c r="D56" s="777" t="n"/>
      <c r="E56" s="789" t="n"/>
      <c r="F56" s="779" t="n"/>
      <c r="G56" s="789" t="n"/>
      <c r="H56" s="779" t="n"/>
      <c r="I56" s="789" t="n"/>
      <c r="J56" s="779" t="n"/>
      <c r="K56" s="789" t="n"/>
      <c r="L56" s="779" t="n"/>
      <c r="M56" s="789" t="n"/>
      <c r="N56" s="779" t="n"/>
    </row>
    <row r="57" ht="13.5" customHeight="1" s="614">
      <c r="A57" s="769" t="n"/>
      <c r="B57" s="769" t="n"/>
      <c r="C57" s="791" t="inlineStr">
        <is>
          <t>常用機選択</t>
        </is>
      </c>
      <c r="D57" s="792" t="n"/>
      <c r="E57" s="793" t="n"/>
      <c r="F57" s="788" t="n"/>
      <c r="G57" s="793" t="n"/>
      <c r="H57" s="788" t="n"/>
      <c r="I57" s="793" t="n"/>
      <c r="J57" s="788" t="n"/>
      <c r="K57" s="793" t="n"/>
      <c r="L57" s="788" t="n"/>
      <c r="M57" s="793" t="n"/>
      <c r="N57" s="788" t="n"/>
      <c r="P57" s="814" t="n"/>
      <c r="Q57" s="814" t="n"/>
      <c r="R57" s="712" t="n"/>
      <c r="S57" s="712" t="n"/>
    </row>
    <row r="58" ht="13.5" customHeight="1" s="614">
      <c r="A58" s="772" t="inlineStr">
        <is>
          <t>返流水ポンプ</t>
        </is>
      </c>
      <c r="B58" s="800" t="inlineStr">
        <is>
          <t>1</t>
        </is>
      </c>
      <c r="C58" s="776" t="inlineStr">
        <is>
          <t>電流値</t>
        </is>
      </c>
      <c r="D58" s="777" t="inlineStr">
        <is>
          <t>Ａ</t>
        </is>
      </c>
      <c r="E58" s="778" t="n"/>
      <c r="F58" s="779" t="n"/>
      <c r="G58" s="778" t="n"/>
      <c r="H58" s="779" t="n"/>
      <c r="I58" s="778" t="n"/>
      <c r="J58" s="779" t="n"/>
      <c r="K58" s="778" t="n"/>
      <c r="L58" s="779" t="n"/>
      <c r="M58" s="778" t="n"/>
      <c r="N58" s="779" t="n"/>
    </row>
    <row r="59" ht="13.5" customHeight="1" s="614">
      <c r="A59" s="780" t="n"/>
      <c r="B59" s="780" t="n"/>
      <c r="C59" s="781" t="inlineStr">
        <is>
          <t>吐出圧力</t>
        </is>
      </c>
      <c r="D59" s="782" t="inlineStr">
        <is>
          <t>Mpa</t>
        </is>
      </c>
      <c r="E59" s="783" t="n"/>
      <c r="F59" s="784" t="n"/>
      <c r="G59" s="783" t="n"/>
      <c r="H59" s="784" t="n"/>
      <c r="I59" s="783" t="n"/>
      <c r="J59" s="784" t="n"/>
      <c r="K59" s="783" t="n"/>
      <c r="L59" s="784" t="n"/>
      <c r="M59" s="783" t="n"/>
      <c r="N59" s="784" t="n"/>
    </row>
    <row r="60" ht="13.5" customHeight="1" s="614">
      <c r="A60" s="780" t="n"/>
      <c r="B60" s="769" t="n"/>
      <c r="C60" s="785" t="inlineStr">
        <is>
          <t>異音、振動</t>
        </is>
      </c>
      <c r="D60" s="786" t="n"/>
      <c r="E60" s="787" t="n"/>
      <c r="F60" s="788" t="n"/>
      <c r="G60" s="787" t="n"/>
      <c r="H60" s="788" t="n"/>
      <c r="I60" s="787" t="n"/>
      <c r="J60" s="788" t="n"/>
      <c r="K60" s="787" t="n"/>
      <c r="L60" s="788" t="n"/>
      <c r="M60" s="787" t="n"/>
      <c r="N60" s="788" t="n"/>
    </row>
    <row r="61" ht="13.5" customHeight="1" s="614">
      <c r="A61" s="780" t="n"/>
      <c r="B61" s="800" t="inlineStr">
        <is>
          <t>2</t>
        </is>
      </c>
      <c r="C61" s="776" t="inlineStr">
        <is>
          <t>電流値</t>
        </is>
      </c>
      <c r="D61" s="777" t="inlineStr">
        <is>
          <t>Ａ</t>
        </is>
      </c>
      <c r="E61" s="778" t="n"/>
      <c r="F61" s="779" t="n"/>
      <c r="G61" s="778" t="n"/>
      <c r="H61" s="779" t="n"/>
      <c r="I61" s="778" t="n"/>
      <c r="J61" s="779" t="n"/>
      <c r="K61" s="778" t="n"/>
      <c r="L61" s="779" t="n"/>
      <c r="M61" s="778" t="n"/>
      <c r="N61" s="779" t="n"/>
    </row>
    <row r="62" ht="13.5" customHeight="1" s="614">
      <c r="A62" s="780" t="n"/>
      <c r="B62" s="780" t="n"/>
      <c r="C62" s="781">
        <f>C59</f>
        <v/>
      </c>
      <c r="D62" s="782" t="inlineStr">
        <is>
          <t>Mpa</t>
        </is>
      </c>
      <c r="E62" s="783" t="n"/>
      <c r="F62" s="784" t="n"/>
      <c r="G62" s="783" t="n"/>
      <c r="H62" s="784" t="n"/>
      <c r="I62" s="783" t="n"/>
      <c r="J62" s="784" t="n"/>
      <c r="K62" s="783" t="n"/>
      <c r="L62" s="784" t="n"/>
      <c r="M62" s="783" t="n"/>
      <c r="N62" s="784" t="n"/>
    </row>
    <row r="63" ht="13.5" customHeight="1" s="614">
      <c r="A63" s="780" t="n"/>
      <c r="B63" s="769" t="n"/>
      <c r="C63" s="785" t="inlineStr">
        <is>
          <t>異音、振動</t>
        </is>
      </c>
      <c r="D63" s="786" t="n"/>
      <c r="E63" s="787" t="n"/>
      <c r="F63" s="788" t="n"/>
      <c r="G63" s="787" t="n"/>
      <c r="H63" s="788" t="n"/>
      <c r="I63" s="787" t="n"/>
      <c r="J63" s="788" t="n"/>
      <c r="K63" s="787" t="n"/>
      <c r="L63" s="788" t="n"/>
      <c r="M63" s="787" t="n"/>
      <c r="N63" s="788" t="n"/>
    </row>
    <row r="64" ht="13.5" customHeight="1" s="614">
      <c r="A64" s="780" t="n"/>
      <c r="B64" s="800" t="inlineStr">
        <is>
          <t>―</t>
        </is>
      </c>
      <c r="C64" s="776" t="inlineStr">
        <is>
          <t>モード確認</t>
        </is>
      </c>
      <c r="D64" s="777" t="n"/>
      <c r="E64" s="789" t="n"/>
      <c r="F64" s="779" t="n"/>
      <c r="G64" s="789" t="n"/>
      <c r="H64" s="779" t="n"/>
      <c r="I64" s="789" t="n"/>
      <c r="J64" s="779" t="n"/>
      <c r="K64" s="789" t="n"/>
      <c r="L64" s="779" t="n"/>
      <c r="M64" s="789" t="n"/>
      <c r="N64" s="779" t="n"/>
    </row>
    <row r="65" ht="13.5" customHeight="1" s="614">
      <c r="A65" s="769" t="n"/>
      <c r="B65" s="769" t="n"/>
      <c r="C65" s="791" t="inlineStr">
        <is>
          <t>常用機選択</t>
        </is>
      </c>
      <c r="D65" s="792" t="n"/>
      <c r="E65" s="793" t="n"/>
      <c r="F65" s="788" t="n"/>
      <c r="G65" s="793" t="n"/>
      <c r="H65" s="788" t="n"/>
      <c r="I65" s="793" t="n"/>
      <c r="J65" s="788" t="n"/>
      <c r="K65" s="793" t="n"/>
      <c r="L65" s="788" t="n"/>
      <c r="M65" s="793" t="n"/>
      <c r="N65" s="788" t="n"/>
    </row>
    <row r="66" ht="13.5" customHeight="1" s="614">
      <c r="A66" s="820" t="inlineStr">
        <is>
          <t xml:space="preserve">　○：良　　△：要注意　　×：要修理</t>
        </is>
      </c>
    </row>
    <row r="67" ht="21" customHeight="1" s="614">
      <c r="A67" s="764" t="inlineStr">
        <is>
          <t>機械設備日常点検表（２/２）</t>
        </is>
      </c>
      <c r="B67" s="674" t="n"/>
      <c r="C67" s="765" t="n"/>
      <c r="D67" s="674" t="n"/>
      <c r="E67" s="674" t="n"/>
      <c r="F67" s="674" t="n"/>
      <c r="G67" s="674" t="n"/>
      <c r="H67" s="674" t="n"/>
      <c r="I67" s="674" t="n"/>
      <c r="J67" s="674" t="n"/>
      <c r="K67" s="765">
        <f>K1</f>
        <v/>
      </c>
      <c r="L67" s="765" t="n"/>
      <c r="M67" s="765" t="n"/>
      <c r="N67" s="674" t="n"/>
    </row>
    <row r="68" ht="13.5" customHeight="1" s="614">
      <c r="A68" s="821" t="inlineStr">
        <is>
          <t>機　器　名</t>
        </is>
      </c>
      <c r="B68" s="768" t="inlineStr">
        <is>
          <t>No</t>
        </is>
      </c>
      <c r="C68" s="767" t="inlineStr">
        <is>
          <t>点 検 者</t>
        </is>
      </c>
      <c r="D68" s="627" t="n"/>
      <c r="E68" s="767" t="n"/>
      <c r="F68" s="627" t="n"/>
      <c r="G68" s="767" t="n"/>
      <c r="H68" s="627" t="n"/>
      <c r="I68" s="767" t="n"/>
      <c r="J68" s="627" t="n"/>
      <c r="K68" s="767" t="n"/>
      <c r="L68" s="627" t="n"/>
      <c r="M68" s="767" t="n"/>
      <c r="N68" s="627" t="n"/>
    </row>
    <row r="69" ht="13.5" customHeight="1" s="614">
      <c r="A69" s="769" t="n"/>
      <c r="B69" s="769" t="n"/>
      <c r="C69" s="770" t="inlineStr">
        <is>
          <t>点検内容</t>
        </is>
      </c>
      <c r="D69" s="627" t="n"/>
      <c r="E69" s="771" t="n"/>
      <c r="F69" s="627" t="n"/>
      <c r="G69" s="771" t="n"/>
      <c r="H69" s="627" t="n"/>
      <c r="I69" s="771" t="n"/>
      <c r="J69" s="627" t="n"/>
      <c r="K69" s="771" t="n"/>
      <c r="L69" s="627" t="n"/>
      <c r="M69" s="771" t="n"/>
      <c r="N69" s="627" t="n"/>
    </row>
    <row r="70" ht="13.5" customHeight="1" s="614">
      <c r="A70" s="822" t="inlineStr">
        <is>
          <t>濃縮汚泥引抜ポンプ</t>
        </is>
      </c>
      <c r="B70" s="768" t="n">
        <v>1</v>
      </c>
      <c r="C70" s="809" t="inlineStr">
        <is>
          <t>電流値</t>
        </is>
      </c>
      <c r="D70" s="810" t="inlineStr">
        <is>
          <t>Ａ</t>
        </is>
      </c>
      <c r="E70" s="778" t="n"/>
      <c r="F70" s="779" t="n"/>
      <c r="G70" s="778" t="n"/>
      <c r="H70" s="779" t="n"/>
      <c r="I70" s="778" t="n"/>
      <c r="J70" s="779" t="n"/>
      <c r="K70" s="778" t="n"/>
      <c r="L70" s="779" t="n"/>
      <c r="M70" s="778" t="n"/>
      <c r="N70" s="779" t="n"/>
    </row>
    <row r="71" ht="13.5" customHeight="1" s="614">
      <c r="A71" s="780" t="n"/>
      <c r="B71" s="780" t="n"/>
      <c r="C71" s="781" t="inlineStr">
        <is>
          <t>吐出圧力</t>
        </is>
      </c>
      <c r="D71" s="782" t="inlineStr">
        <is>
          <t>Mpa</t>
        </is>
      </c>
      <c r="E71" s="783" t="n"/>
      <c r="F71" s="784" t="n"/>
      <c r="G71" s="783" t="n"/>
      <c r="H71" s="784" t="n"/>
      <c r="I71" s="783" t="n"/>
      <c r="J71" s="784" t="n"/>
      <c r="K71" s="783" t="n"/>
      <c r="L71" s="784" t="n"/>
      <c r="M71" s="783" t="n"/>
      <c r="N71" s="784" t="n"/>
    </row>
    <row r="72" ht="13.5" customHeight="1" s="614">
      <c r="A72" s="780" t="n"/>
      <c r="B72" s="769" t="n"/>
      <c r="C72" s="785" t="inlineStr">
        <is>
          <t>異音、振動</t>
        </is>
      </c>
      <c r="D72" s="786" t="n"/>
      <c r="E72" s="793" t="n"/>
      <c r="F72" s="788" t="n"/>
      <c r="G72" s="787" t="n"/>
      <c r="H72" s="788" t="n"/>
      <c r="I72" s="787" t="n"/>
      <c r="J72" s="788" t="n"/>
      <c r="K72" s="787" t="n"/>
      <c r="L72" s="788" t="n"/>
      <c r="M72" s="787" t="n"/>
      <c r="N72" s="788" t="n"/>
    </row>
    <row r="73" ht="13.5" customHeight="1" s="614">
      <c r="A73" s="780" t="n"/>
      <c r="B73" s="768" t="n">
        <v>2</v>
      </c>
      <c r="C73" s="776" t="inlineStr">
        <is>
          <t>電流値</t>
        </is>
      </c>
      <c r="D73" s="777" t="inlineStr">
        <is>
          <t>Ａ</t>
        </is>
      </c>
      <c r="E73" s="778" t="n"/>
      <c r="F73" s="779" t="n"/>
      <c r="G73" s="778" t="n"/>
      <c r="H73" s="779" t="n"/>
      <c r="I73" s="778" t="n"/>
      <c r="J73" s="779" t="n"/>
      <c r="K73" s="778" t="n"/>
      <c r="L73" s="779" t="n"/>
      <c r="M73" s="778" t="n"/>
      <c r="N73" s="779" t="n"/>
    </row>
    <row r="74" ht="13.5" customHeight="1" s="614">
      <c r="A74" s="780" t="n"/>
      <c r="B74" s="780" t="n"/>
      <c r="C74" s="781" t="inlineStr">
        <is>
          <t>吐出圧力</t>
        </is>
      </c>
      <c r="D74" s="782" t="inlineStr">
        <is>
          <t>Mpa</t>
        </is>
      </c>
      <c r="E74" s="783" t="n"/>
      <c r="F74" s="784" t="n"/>
      <c r="G74" s="783" t="n"/>
      <c r="H74" s="784" t="n"/>
      <c r="I74" s="783" t="n"/>
      <c r="J74" s="784" t="n"/>
      <c r="K74" s="783" t="n"/>
      <c r="L74" s="784" t="n"/>
      <c r="M74" s="783" t="n"/>
      <c r="N74" s="784" t="n"/>
    </row>
    <row r="75" ht="13.5" customHeight="1" s="614">
      <c r="A75" s="780" t="n"/>
      <c r="B75" s="769" t="n"/>
      <c r="C75" s="785" t="inlineStr">
        <is>
          <t>異音、振動</t>
        </is>
      </c>
      <c r="D75" s="786" t="n"/>
      <c r="E75" s="793" t="n"/>
      <c r="F75" s="788" t="n"/>
      <c r="G75" s="787" t="n"/>
      <c r="H75" s="788" t="n"/>
      <c r="I75" s="787" t="n"/>
      <c r="J75" s="788" t="n"/>
      <c r="K75" s="787" t="n"/>
      <c r="L75" s="788" t="n"/>
      <c r="M75" s="787" t="n"/>
      <c r="N75" s="788" t="n"/>
    </row>
    <row r="76" ht="13.5" customHeight="1" s="614">
      <c r="A76" s="780" t="n"/>
      <c r="B76" s="768" t="inlineStr">
        <is>
          <t>―</t>
        </is>
      </c>
      <c r="C76" s="776" t="inlineStr">
        <is>
          <t>モード確認</t>
        </is>
      </c>
      <c r="D76" s="777" t="n"/>
      <c r="E76" s="823" t="n"/>
      <c r="F76" s="824" t="n"/>
      <c r="G76" s="823" t="n"/>
      <c r="H76" s="824" t="n"/>
      <c r="I76" s="823" t="n"/>
      <c r="J76" s="824" t="n"/>
      <c r="K76" s="823" t="n"/>
      <c r="L76" s="824" t="n"/>
      <c r="M76" s="823" t="n"/>
      <c r="N76" s="824" t="n"/>
    </row>
    <row r="77" ht="13.5" customHeight="1" s="614">
      <c r="A77" s="769" t="n"/>
      <c r="B77" s="769" t="n"/>
      <c r="C77" s="791" t="inlineStr">
        <is>
          <t>常用機選択</t>
        </is>
      </c>
      <c r="D77" s="792" t="n"/>
      <c r="E77" s="793" t="n"/>
      <c r="F77" s="788" t="n"/>
      <c r="G77" s="793" t="n"/>
      <c r="H77" s="788" t="n"/>
      <c r="I77" s="793" t="n"/>
      <c r="J77" s="788" t="n"/>
      <c r="K77" s="793" t="n"/>
      <c r="L77" s="788" t="n"/>
      <c r="M77" s="793" t="n"/>
      <c r="N77" s="788" t="n"/>
    </row>
    <row r="78" ht="13.5" customHeight="1" s="614">
      <c r="A78" s="772" t="inlineStr">
        <is>
          <t>濃縮汚泥掻寄機</t>
        </is>
      </c>
      <c r="B78" s="768" t="inlineStr">
        <is>
          <t>―</t>
        </is>
      </c>
      <c r="C78" s="825" t="inlineStr">
        <is>
          <t>電流値</t>
        </is>
      </c>
      <c r="D78" s="777" t="inlineStr">
        <is>
          <t>Ａ</t>
        </is>
      </c>
      <c r="E78" s="826" t="n"/>
      <c r="F78" s="824" t="n"/>
      <c r="G78" s="826" t="n"/>
      <c r="H78" s="824" t="n"/>
      <c r="I78" s="826" t="n"/>
      <c r="J78" s="824" t="n"/>
      <c r="K78" s="826" t="n"/>
      <c r="L78" s="824" t="n"/>
      <c r="M78" s="826" t="n"/>
      <c r="N78" s="824" t="n"/>
    </row>
    <row r="79" ht="13.5" customHeight="1" s="614">
      <c r="A79" s="780" t="n"/>
      <c r="B79" s="780" t="n"/>
      <c r="C79" s="781" t="inlineStr">
        <is>
          <t>異音、振動</t>
        </is>
      </c>
      <c r="D79" s="782" t="n"/>
      <c r="E79" s="783" t="n"/>
      <c r="F79" s="784" t="n"/>
      <c r="G79" s="783" t="n"/>
      <c r="H79" s="784" t="n"/>
      <c r="I79" s="783" t="n"/>
      <c r="J79" s="784" t="n"/>
      <c r="K79" s="783" t="n"/>
      <c r="L79" s="784" t="n"/>
      <c r="M79" s="783" t="n"/>
      <c r="N79" s="784" t="n"/>
    </row>
    <row r="80" ht="13.5" customHeight="1" s="614">
      <c r="A80" s="769" t="n"/>
      <c r="B80" s="769" t="n"/>
      <c r="C80" s="785" t="inlineStr">
        <is>
          <t>モード確認</t>
        </is>
      </c>
      <c r="D80" s="786" t="n"/>
      <c r="E80" s="793" t="n"/>
      <c r="F80" s="788" t="n"/>
      <c r="G80" s="793" t="n"/>
      <c r="H80" s="788" t="n"/>
      <c r="I80" s="793" t="n"/>
      <c r="J80" s="788" t="n"/>
      <c r="K80" s="793" t="n"/>
      <c r="L80" s="788" t="n"/>
      <c r="M80" s="793" t="n"/>
      <c r="N80" s="788" t="n"/>
    </row>
    <row r="81" ht="13.5" customHeight="1" s="614">
      <c r="A81" s="795" t="inlineStr">
        <is>
          <t>スカムスキマー</t>
        </is>
      </c>
      <c r="B81" s="796" t="inlineStr">
        <is>
          <t>―</t>
        </is>
      </c>
      <c r="C81" s="825" t="inlineStr">
        <is>
          <t>動作状況</t>
        </is>
      </c>
      <c r="D81" s="827" t="n"/>
      <c r="E81" s="797" t="n"/>
      <c r="F81" s="779" t="n"/>
      <c r="G81" s="797" t="n"/>
      <c r="H81" s="779" t="n"/>
      <c r="I81" s="797" t="n"/>
      <c r="J81" s="779" t="n"/>
      <c r="K81" s="797" t="n"/>
      <c r="L81" s="779" t="n"/>
      <c r="M81" s="797" t="n"/>
      <c r="N81" s="779" t="n"/>
    </row>
    <row r="82" ht="13.5" customHeight="1" s="614">
      <c r="A82" s="769" t="n"/>
      <c r="B82" s="769" t="n"/>
      <c r="C82" s="785" t="inlineStr">
        <is>
          <t>スカムの状況</t>
        </is>
      </c>
      <c r="D82" s="786" t="n"/>
      <c r="E82" s="828" t="n"/>
      <c r="F82" s="654" t="n"/>
      <c r="G82" s="828" t="n"/>
      <c r="H82" s="654" t="n"/>
      <c r="I82" s="828" t="n"/>
      <c r="J82" s="654" t="n"/>
      <c r="K82" s="828" t="n"/>
      <c r="L82" s="654" t="n"/>
      <c r="M82" s="828" t="n"/>
      <c r="N82" s="654" t="n"/>
    </row>
    <row r="83" ht="13.5" customHeight="1" s="614">
      <c r="A83" s="799" t="inlineStr">
        <is>
          <t>濃縮汚泥攪拌機</t>
        </is>
      </c>
      <c r="B83" s="804" t="inlineStr">
        <is>
          <t>―</t>
        </is>
      </c>
      <c r="C83" s="825" t="inlineStr">
        <is>
          <t>電流値</t>
        </is>
      </c>
      <c r="D83" s="777" t="inlineStr">
        <is>
          <t>Ａ</t>
        </is>
      </c>
      <c r="E83" s="778" t="n"/>
      <c r="F83" s="779" t="n"/>
      <c r="G83" s="778" t="n"/>
      <c r="H83" s="779" t="n"/>
      <c r="I83" s="778" t="n"/>
      <c r="J83" s="779" t="n"/>
      <c r="K83" s="778" t="n"/>
      <c r="L83" s="779" t="n"/>
      <c r="M83" s="778" t="n"/>
      <c r="N83" s="779" t="n"/>
    </row>
    <row r="84" ht="13.5" customHeight="1" s="614">
      <c r="A84" s="780" t="n"/>
      <c r="B84" s="780" t="n"/>
      <c r="C84" s="781" t="inlineStr">
        <is>
          <t>異音、振動</t>
        </is>
      </c>
      <c r="D84" s="782" t="n"/>
      <c r="E84" s="798" t="n"/>
      <c r="F84" s="784" t="n"/>
      <c r="G84" s="783" t="n"/>
      <c r="H84" s="784" t="n"/>
      <c r="I84" s="783" t="n"/>
      <c r="J84" s="784" t="n"/>
      <c r="K84" s="798" t="n"/>
      <c r="L84" s="784" t="n"/>
      <c r="M84" s="798" t="n"/>
      <c r="N84" s="784" t="n"/>
    </row>
    <row r="85" ht="13.5" customHeight="1" s="614">
      <c r="A85" s="780" t="n"/>
      <c r="B85" s="780" t="n"/>
      <c r="C85" s="809" t="inlineStr">
        <is>
          <t>モード確認</t>
        </is>
      </c>
      <c r="D85" s="810" t="n"/>
      <c r="E85" s="793" t="n"/>
      <c r="F85" s="788" t="n"/>
      <c r="G85" s="793" t="n"/>
      <c r="H85" s="788" t="n"/>
      <c r="I85" s="793" t="n"/>
      <c r="J85" s="788" t="n"/>
      <c r="K85" s="793" t="n"/>
      <c r="L85" s="788" t="n"/>
      <c r="M85" s="793" t="n"/>
      <c r="N85" s="788" t="n"/>
    </row>
    <row r="86" ht="13.5" customHeight="1" s="614">
      <c r="A86" s="818" t="inlineStr">
        <is>
          <t>濃縮汚泥曝気ﾌﾞﾛﾜ</t>
        </is>
      </c>
      <c r="B86" s="768" t="inlineStr">
        <is>
          <t>―</t>
        </is>
      </c>
      <c r="C86" s="825" t="inlineStr">
        <is>
          <t>電流値</t>
        </is>
      </c>
      <c r="D86" s="829" t="inlineStr">
        <is>
          <t>Ａ</t>
        </is>
      </c>
      <c r="E86" s="778" t="n"/>
      <c r="F86" s="779" t="n"/>
      <c r="G86" s="778" t="n"/>
      <c r="H86" s="779" t="n"/>
      <c r="I86" s="778" t="n"/>
      <c r="J86" s="779" t="n"/>
      <c r="K86" s="778" t="n"/>
      <c r="L86" s="779" t="n"/>
      <c r="M86" s="778" t="n"/>
      <c r="N86" s="779" t="n"/>
    </row>
    <row r="87" ht="13.5" customHeight="1" s="614">
      <c r="A87" s="780" t="n"/>
      <c r="B87" s="780" t="n"/>
      <c r="C87" s="781" t="inlineStr">
        <is>
          <t>異音、振動</t>
        </is>
      </c>
      <c r="D87" s="782" t="n"/>
      <c r="E87" s="798" t="n"/>
      <c r="F87" s="784" t="n"/>
      <c r="G87" s="783" t="n"/>
      <c r="H87" s="784" t="n"/>
      <c r="I87" s="783" t="n"/>
      <c r="J87" s="784" t="n"/>
      <c r="K87" s="798" t="n"/>
      <c r="L87" s="784" t="n"/>
      <c r="M87" s="798" t="n"/>
      <c r="N87" s="784" t="n"/>
    </row>
    <row r="88" ht="13.5" customHeight="1" s="614">
      <c r="A88" s="769" t="n"/>
      <c r="B88" s="769" t="n"/>
      <c r="C88" s="791" t="inlineStr">
        <is>
          <t>モード確認</t>
        </is>
      </c>
      <c r="D88" s="792" t="n"/>
      <c r="E88" s="793" t="n"/>
      <c r="F88" s="788" t="n"/>
      <c r="G88" s="793" t="n"/>
      <c r="H88" s="788" t="n"/>
      <c r="I88" s="793" t="n"/>
      <c r="J88" s="788" t="n"/>
      <c r="K88" s="793" t="n"/>
      <c r="L88" s="788" t="n"/>
      <c r="M88" s="793" t="n"/>
      <c r="N88" s="788" t="n"/>
    </row>
    <row r="89" ht="13.5" customHeight="1" s="614">
      <c r="A89" s="807" t="inlineStr">
        <is>
          <t>自動給水装置</t>
        </is>
      </c>
      <c r="B89" s="796" t="n">
        <v>1</v>
      </c>
      <c r="C89" s="809" t="inlineStr">
        <is>
          <t>電流値</t>
        </is>
      </c>
      <c r="D89" s="810" t="inlineStr">
        <is>
          <t>Ａ</t>
        </is>
      </c>
      <c r="E89" s="830" t="n"/>
      <c r="F89" s="824" t="n"/>
      <c r="G89" s="830" t="n"/>
      <c r="H89" s="824" t="n"/>
      <c r="I89" s="830" t="n"/>
      <c r="J89" s="824" t="n"/>
      <c r="K89" s="830" t="n"/>
      <c r="L89" s="824" t="n"/>
      <c r="M89" s="830" t="n"/>
      <c r="N89" s="824" t="n"/>
    </row>
    <row r="90" ht="13.5" customHeight="1" s="614">
      <c r="A90" s="780" t="n"/>
      <c r="B90" s="769" t="n"/>
      <c r="C90" s="791" t="inlineStr">
        <is>
          <t>異音、振動等</t>
        </is>
      </c>
      <c r="D90" s="792" t="n"/>
      <c r="E90" s="793" t="n"/>
      <c r="F90" s="788" t="n"/>
      <c r="G90" s="793" t="n"/>
      <c r="H90" s="788" t="n"/>
      <c r="I90" s="793" t="n"/>
      <c r="J90" s="788" t="n"/>
      <c r="K90" s="793" t="n"/>
      <c r="L90" s="788" t="n"/>
      <c r="M90" s="793" t="n"/>
      <c r="N90" s="788" t="n"/>
    </row>
    <row r="91" ht="13.5" customHeight="1" s="614">
      <c r="A91" s="780" t="n"/>
      <c r="B91" s="767" t="n">
        <v>2</v>
      </c>
      <c r="C91" s="776" t="inlineStr">
        <is>
          <t>電流値</t>
        </is>
      </c>
      <c r="D91" s="777" t="inlineStr">
        <is>
          <t>Ａ</t>
        </is>
      </c>
      <c r="E91" s="830" t="n"/>
      <c r="F91" s="824" t="n"/>
      <c r="G91" s="830" t="n"/>
      <c r="H91" s="824" t="n"/>
      <c r="I91" s="830" t="n"/>
      <c r="J91" s="824" t="n"/>
      <c r="K91" s="830" t="n"/>
      <c r="L91" s="824" t="n"/>
      <c r="M91" s="830" t="n"/>
      <c r="N91" s="824" t="n"/>
    </row>
    <row r="92" ht="13.5" customHeight="1" s="614">
      <c r="A92" s="780" t="n"/>
      <c r="B92" s="769" t="n"/>
      <c r="C92" s="791" t="inlineStr">
        <is>
          <t>異音、振動等</t>
        </is>
      </c>
      <c r="D92" s="792" t="n"/>
      <c r="E92" s="793" t="n"/>
      <c r="F92" s="788" t="n"/>
      <c r="G92" s="793" t="n"/>
      <c r="H92" s="788" t="n"/>
      <c r="I92" s="793" t="n"/>
      <c r="J92" s="788" t="n"/>
      <c r="K92" s="793" t="n"/>
      <c r="L92" s="788" t="n"/>
      <c r="M92" s="793" t="n"/>
      <c r="N92" s="788" t="n"/>
    </row>
    <row r="93" ht="13.5" customHeight="1" s="614">
      <c r="A93" s="780" t="n"/>
      <c r="B93" s="804" t="inlineStr">
        <is>
          <t>―</t>
        </is>
      </c>
      <c r="C93" s="776" t="inlineStr">
        <is>
          <t>モード確認</t>
        </is>
      </c>
      <c r="D93" s="777" t="n"/>
      <c r="E93" s="831" t="n"/>
      <c r="F93" s="627" t="n"/>
      <c r="G93" s="831" t="n"/>
      <c r="H93" s="627" t="n"/>
      <c r="I93" s="831" t="n"/>
      <c r="J93" s="627" t="n"/>
      <c r="K93" s="831" t="n"/>
      <c r="L93" s="627" t="n"/>
      <c r="M93" s="831" t="n"/>
      <c r="N93" s="627" t="n"/>
      <c r="P93" s="712" t="n"/>
      <c r="Q93" s="712" t="n"/>
      <c r="R93" s="712" t="n"/>
    </row>
    <row r="94" ht="13.5" customHeight="1" s="614">
      <c r="A94" s="772" t="inlineStr">
        <is>
          <t>混和池ＢＧ</t>
        </is>
      </c>
      <c r="B94" s="768" t="inlineStr">
        <is>
          <t>―</t>
        </is>
      </c>
      <c r="C94" s="832" t="inlineStr">
        <is>
          <t>開閉</t>
        </is>
      </c>
      <c r="D94" s="627" t="n"/>
      <c r="E94" s="831" t="n"/>
      <c r="F94" s="627" t="n"/>
      <c r="G94" s="831" t="n"/>
      <c r="H94" s="627" t="n"/>
      <c r="I94" s="831" t="n"/>
      <c r="J94" s="627" t="n"/>
      <c r="K94" s="831" t="n"/>
      <c r="L94" s="627" t="n"/>
      <c r="M94" s="831" t="n"/>
      <c r="N94" s="627" t="n"/>
      <c r="P94" s="712" t="n"/>
      <c r="Q94" s="712" t="n"/>
    </row>
    <row r="95" ht="13.5" customHeight="1" s="614">
      <c r="A95" s="772" t="inlineStr">
        <is>
          <t>塩素接触装置</t>
        </is>
      </c>
      <c r="B95" s="768" t="inlineStr">
        <is>
          <t>―</t>
        </is>
      </c>
      <c r="C95" s="773" t="inlineStr">
        <is>
          <t>薬剤残量確認</t>
        </is>
      </c>
      <c r="D95" s="805" t="n"/>
      <c r="E95" s="775" t="n"/>
      <c r="F95" s="627" t="n"/>
      <c r="G95" s="775" t="n"/>
      <c r="H95" s="627" t="n"/>
      <c r="I95" s="775" t="n"/>
      <c r="J95" s="627" t="n"/>
      <c r="K95" s="775" t="n"/>
      <c r="L95" s="627" t="n"/>
      <c r="M95" s="775" t="n"/>
      <c r="N95" s="627" t="n"/>
    </row>
    <row r="96" ht="13.5" customHeight="1" s="614">
      <c r="A96" s="772" t="inlineStr">
        <is>
          <t>脱臭ファン</t>
        </is>
      </c>
      <c r="B96" s="768" t="inlineStr">
        <is>
          <t>―</t>
        </is>
      </c>
      <c r="C96" s="776" t="inlineStr">
        <is>
          <t>電流値</t>
        </is>
      </c>
      <c r="D96" s="777" t="inlineStr">
        <is>
          <t>Ａ</t>
        </is>
      </c>
      <c r="E96" s="833" t="n"/>
      <c r="F96" s="824" t="n"/>
      <c r="G96" s="833" t="n"/>
      <c r="H96" s="824" t="n"/>
      <c r="I96" s="833" t="n"/>
      <c r="J96" s="824" t="n"/>
      <c r="K96" s="833" t="n"/>
      <c r="L96" s="824" t="n"/>
      <c r="M96" s="833" t="n"/>
      <c r="N96" s="824" t="n"/>
    </row>
    <row r="97" ht="13.5" customHeight="1" s="614">
      <c r="A97" s="780" t="n"/>
      <c r="B97" s="780" t="n"/>
      <c r="C97" s="834" t="inlineStr">
        <is>
          <t>ボルト・ナットの緩み</t>
        </is>
      </c>
      <c r="D97" s="784" t="n"/>
      <c r="E97" s="783" t="n"/>
      <c r="F97" s="784" t="n"/>
      <c r="G97" s="783" t="n"/>
      <c r="H97" s="784" t="n"/>
      <c r="I97" s="783" t="n"/>
      <c r="J97" s="784" t="n"/>
      <c r="K97" s="783" t="n"/>
      <c r="L97" s="784" t="n"/>
      <c r="M97" s="783" t="n"/>
      <c r="N97" s="784" t="n"/>
    </row>
    <row r="98" ht="13.5" customHeight="1" s="614">
      <c r="A98" s="769" t="n"/>
      <c r="B98" s="769" t="n"/>
      <c r="C98" s="835" t="inlineStr">
        <is>
          <t>モード確認</t>
        </is>
      </c>
      <c r="D98" s="654" t="n"/>
      <c r="E98" s="793" t="n"/>
      <c r="F98" s="788" t="n"/>
      <c r="G98" s="793" t="n"/>
      <c r="H98" s="788" t="n"/>
      <c r="I98" s="793" t="n"/>
      <c r="J98" s="788" t="n"/>
      <c r="K98" s="793" t="n"/>
      <c r="L98" s="788" t="n"/>
      <c r="M98" s="793" t="n"/>
      <c r="N98" s="788" t="n"/>
    </row>
    <row r="99" ht="13.5" customHeight="1" s="614">
      <c r="A99" s="772" t="inlineStr">
        <is>
          <t>水処理用ﾀﾞﾝﾊﾟ</t>
        </is>
      </c>
      <c r="B99" s="768" t="inlineStr">
        <is>
          <t>―</t>
        </is>
      </c>
      <c r="C99" s="836" t="inlineStr">
        <is>
          <t>異音、振動</t>
        </is>
      </c>
      <c r="D99" s="779" t="n"/>
      <c r="E99" s="837" t="n"/>
      <c r="F99" s="824" t="n"/>
      <c r="G99" s="837" t="n"/>
      <c r="H99" s="824" t="n"/>
      <c r="I99" s="837" t="n"/>
      <c r="J99" s="824" t="n"/>
      <c r="K99" s="837" t="n"/>
      <c r="L99" s="824" t="n"/>
      <c r="M99" s="837" t="n"/>
      <c r="N99" s="824" t="n"/>
      <c r="P99" s="712" t="n"/>
      <c r="Q99" s="712" t="n"/>
    </row>
    <row r="100" ht="13.5" customHeight="1" s="614">
      <c r="A100" s="769" t="n"/>
      <c r="B100" s="769" t="n"/>
      <c r="C100" s="838" t="inlineStr">
        <is>
          <t>モード確認</t>
        </is>
      </c>
      <c r="D100" s="788" t="n"/>
      <c r="E100" s="793" t="n"/>
      <c r="F100" s="788" t="n"/>
      <c r="G100" s="793" t="n"/>
      <c r="H100" s="788" t="n"/>
      <c r="I100" s="793" t="n"/>
      <c r="J100" s="788" t="n"/>
      <c r="K100" s="793" t="n"/>
      <c r="L100" s="788" t="n"/>
      <c r="M100" s="793" t="n"/>
      <c r="N100" s="788" t="n"/>
    </row>
    <row r="101" ht="13.5" customHeight="1" s="614">
      <c r="A101" s="772" t="inlineStr">
        <is>
          <t>汚泥処理用ﾀﾞﾝﾊﾟ</t>
        </is>
      </c>
      <c r="B101" s="768" t="inlineStr">
        <is>
          <t>―</t>
        </is>
      </c>
      <c r="C101" s="825" t="inlineStr">
        <is>
          <t>異音、振動</t>
        </is>
      </c>
      <c r="D101" s="829" t="n"/>
      <c r="E101" s="837" t="n"/>
      <c r="F101" s="824" t="n"/>
      <c r="G101" s="837" t="n"/>
      <c r="H101" s="824" t="n"/>
      <c r="I101" s="837" t="n"/>
      <c r="J101" s="824" t="n"/>
      <c r="K101" s="837" t="n"/>
      <c r="L101" s="824" t="n"/>
      <c r="M101" s="837" t="n"/>
      <c r="N101" s="824" t="n"/>
    </row>
    <row r="102" ht="13.5" customHeight="1" s="614">
      <c r="A102" s="769" t="n"/>
      <c r="B102" s="769" t="n"/>
      <c r="C102" s="791" t="inlineStr">
        <is>
          <t>モード確認</t>
        </is>
      </c>
      <c r="D102" s="792" t="n"/>
      <c r="E102" s="793" t="n"/>
      <c r="F102" s="788" t="n"/>
      <c r="G102" s="793" t="n"/>
      <c r="H102" s="788" t="n"/>
      <c r="I102" s="793" t="n"/>
      <c r="J102" s="788" t="n"/>
      <c r="K102" s="793" t="n"/>
      <c r="L102" s="788" t="n"/>
      <c r="M102" s="793" t="n"/>
      <c r="N102" s="788" t="n"/>
    </row>
    <row r="103" ht="13.5" customHeight="1" s="614">
      <c r="A103" s="772" t="inlineStr">
        <is>
          <t>吸着脱装置</t>
        </is>
      </c>
      <c r="B103" s="768" t="inlineStr">
        <is>
          <t>―</t>
        </is>
      </c>
      <c r="C103" s="836" t="inlineStr">
        <is>
          <t>マノメータ等の作動確認</t>
        </is>
      </c>
      <c r="D103" s="779" t="n"/>
      <c r="E103" s="837" t="n"/>
      <c r="F103" s="824" t="n"/>
      <c r="G103" s="837" t="n"/>
      <c r="H103" s="824" t="n"/>
      <c r="I103" s="837" t="n"/>
      <c r="J103" s="824" t="n"/>
      <c r="K103" s="837" t="n"/>
      <c r="L103" s="824" t="n"/>
      <c r="M103" s="837" t="n"/>
      <c r="N103" s="824" t="n"/>
    </row>
    <row r="104" ht="13.5" customHeight="1" s="614">
      <c r="A104" s="769" t="n"/>
      <c r="B104" s="769" t="n"/>
      <c r="C104" s="838">
        <f>C101</f>
        <v/>
      </c>
      <c r="D104" s="788" t="n"/>
      <c r="E104" s="787" t="n"/>
      <c r="F104" s="788" t="n"/>
      <c r="G104" s="787" t="n"/>
      <c r="H104" s="788" t="n"/>
      <c r="I104" s="787" t="n"/>
      <c r="J104" s="788" t="n"/>
      <c r="K104" s="787" t="n"/>
      <c r="L104" s="788" t="n"/>
      <c r="M104" s="787" t="n"/>
      <c r="N104" s="788" t="n"/>
      <c r="P104" s="712" t="n"/>
      <c r="Q104" s="712" t="n"/>
      <c r="R104" s="712" t="n"/>
    </row>
    <row r="105" ht="13.5" customHeight="1" s="614">
      <c r="A105" s="772" t="inlineStr">
        <is>
          <t>自家発室給気ファン</t>
        </is>
      </c>
      <c r="B105" s="768" t="inlineStr">
        <is>
          <t>―</t>
        </is>
      </c>
      <c r="C105" s="825" t="inlineStr">
        <is>
          <t>異音、振動</t>
        </is>
      </c>
      <c r="D105" s="829" t="n"/>
      <c r="E105" s="837" t="n"/>
      <c r="F105" s="824" t="n"/>
      <c r="G105" s="837" t="n"/>
      <c r="H105" s="824" t="n"/>
      <c r="I105" s="837" t="n"/>
      <c r="J105" s="824" t="n"/>
      <c r="K105" s="837" t="n"/>
      <c r="L105" s="824" t="n"/>
      <c r="M105" s="837" t="n"/>
      <c r="N105" s="824" t="n"/>
    </row>
    <row r="106" ht="13.5" customHeight="1" s="614">
      <c r="A106" s="769" t="n"/>
      <c r="B106" s="769" t="n"/>
      <c r="C106" s="791" t="inlineStr">
        <is>
          <t>モード確認</t>
        </is>
      </c>
      <c r="D106" s="792" t="n"/>
      <c r="E106" s="793" t="n"/>
      <c r="F106" s="788" t="n"/>
      <c r="G106" s="793" t="n"/>
      <c r="H106" s="788" t="n"/>
      <c r="I106" s="793" t="n"/>
      <c r="J106" s="788" t="n"/>
      <c r="K106" s="793" t="n"/>
      <c r="L106" s="788" t="n"/>
      <c r="M106" s="793" t="n"/>
      <c r="N106" s="788" t="n"/>
    </row>
    <row r="107" ht="13.5" customHeight="1" s="614">
      <c r="A107" s="772" t="inlineStr">
        <is>
          <t>自家発室排気ファン</t>
        </is>
      </c>
      <c r="B107" s="768" t="inlineStr">
        <is>
          <t>―</t>
        </is>
      </c>
      <c r="C107" s="825" t="inlineStr">
        <is>
          <t>異音、振動</t>
        </is>
      </c>
      <c r="D107" s="829" t="n"/>
      <c r="E107" s="837" t="n"/>
      <c r="F107" s="824" t="n"/>
      <c r="G107" s="837" t="n"/>
      <c r="H107" s="824" t="n"/>
      <c r="I107" s="837" t="n"/>
      <c r="J107" s="824" t="n"/>
      <c r="K107" s="837" t="n"/>
      <c r="L107" s="824" t="n"/>
      <c r="M107" s="837" t="n"/>
      <c r="N107" s="824" t="n"/>
    </row>
    <row r="108" ht="13.5" customHeight="1" s="614">
      <c r="A108" s="769" t="n"/>
      <c r="B108" s="769" t="n"/>
      <c r="C108" s="791" t="inlineStr">
        <is>
          <t>モード確認</t>
        </is>
      </c>
      <c r="D108" s="792" t="n"/>
      <c r="E108" s="793" t="n"/>
      <c r="F108" s="788" t="n"/>
      <c r="G108" s="793" t="n"/>
      <c r="H108" s="788" t="n"/>
      <c r="I108" s="793" t="n"/>
      <c r="J108" s="788" t="n"/>
      <c r="K108" s="793" t="n"/>
      <c r="L108" s="788" t="n"/>
      <c r="M108" s="793" t="n"/>
      <c r="N108" s="788" t="n"/>
    </row>
    <row r="109" ht="13.5" customHeight="1" s="614">
      <c r="A109" s="772" t="inlineStr">
        <is>
          <t>汚泥ポンプ室給気ファン</t>
        </is>
      </c>
      <c r="B109" s="768" t="inlineStr">
        <is>
          <t>―</t>
        </is>
      </c>
      <c r="C109" s="825" t="inlineStr">
        <is>
          <t>異音、振動</t>
        </is>
      </c>
      <c r="D109" s="829" t="n"/>
      <c r="E109" s="837" t="n"/>
      <c r="F109" s="824" t="n"/>
      <c r="G109" s="837" t="n"/>
      <c r="H109" s="824" t="n"/>
      <c r="I109" s="837" t="n"/>
      <c r="J109" s="824" t="n"/>
      <c r="K109" s="837" t="n"/>
      <c r="L109" s="824" t="n"/>
      <c r="M109" s="837" t="n"/>
      <c r="N109" s="824" t="n"/>
    </row>
    <row r="110" ht="13.5" customHeight="1" s="614">
      <c r="A110" s="769" t="n"/>
      <c r="B110" s="769" t="n"/>
      <c r="C110" s="791" t="inlineStr">
        <is>
          <t>モード確認</t>
        </is>
      </c>
      <c r="D110" s="792" t="n"/>
      <c r="E110" s="793" t="n"/>
      <c r="F110" s="788" t="n"/>
      <c r="G110" s="793" t="n"/>
      <c r="H110" s="788" t="n"/>
      <c r="I110" s="793" t="n"/>
      <c r="J110" s="788" t="n"/>
      <c r="K110" s="793" t="n"/>
      <c r="L110" s="788" t="n"/>
      <c r="M110" s="793" t="n"/>
      <c r="N110" s="788" t="n"/>
    </row>
    <row r="111" ht="13.5" customHeight="1" s="614">
      <c r="A111" s="772" t="inlineStr">
        <is>
          <t>汚泥ポンプ室排気ファン</t>
        </is>
      </c>
      <c r="B111" s="768" t="inlineStr">
        <is>
          <t>―</t>
        </is>
      </c>
      <c r="C111" s="825" t="inlineStr">
        <is>
          <t>異音、振動</t>
        </is>
      </c>
      <c r="D111" s="829" t="n"/>
      <c r="E111" s="837" t="n"/>
      <c r="F111" s="824" t="n"/>
      <c r="G111" s="837" t="n"/>
      <c r="H111" s="824" t="n"/>
      <c r="I111" s="837" t="n"/>
      <c r="J111" s="824" t="n"/>
      <c r="K111" s="837" t="n"/>
      <c r="L111" s="824" t="n"/>
      <c r="M111" s="837" t="n"/>
      <c r="N111" s="824" t="n"/>
    </row>
    <row r="112" ht="13.5" customHeight="1" s="614">
      <c r="A112" s="769" t="n"/>
      <c r="B112" s="769" t="n"/>
      <c r="C112" s="791" t="inlineStr">
        <is>
          <t>モード確認</t>
        </is>
      </c>
      <c r="D112" s="792" t="n"/>
      <c r="E112" s="793" t="n"/>
      <c r="F112" s="788" t="n"/>
      <c r="G112" s="793" t="n"/>
      <c r="H112" s="788" t="n"/>
      <c r="I112" s="793" t="n"/>
      <c r="J112" s="788" t="n"/>
      <c r="K112" s="793" t="n"/>
      <c r="L112" s="788" t="n"/>
      <c r="M112" s="793" t="n"/>
      <c r="N112" s="788" t="n"/>
    </row>
    <row r="113" ht="13.5" customHeight="1" s="614">
      <c r="A113" s="772" t="inlineStr">
        <is>
          <t>脱水機室給気ファン</t>
        </is>
      </c>
      <c r="B113" s="768" t="inlineStr">
        <is>
          <t>―</t>
        </is>
      </c>
      <c r="C113" s="825" t="inlineStr">
        <is>
          <t>異音、振動</t>
        </is>
      </c>
      <c r="D113" s="829" t="n"/>
      <c r="E113" s="823" t="n"/>
      <c r="F113" s="824" t="n"/>
      <c r="G113" s="823" t="n"/>
      <c r="H113" s="824" t="n"/>
      <c r="I113" s="823" t="n"/>
      <c r="J113" s="824" t="n"/>
      <c r="K113" s="823" t="n"/>
      <c r="L113" s="824" t="n"/>
      <c r="M113" s="823" t="n"/>
      <c r="N113" s="824" t="n"/>
    </row>
    <row r="114" ht="13.5" customHeight="1" s="614">
      <c r="A114" s="769" t="n"/>
      <c r="B114" s="769" t="n"/>
      <c r="C114" s="791" t="inlineStr">
        <is>
          <t>モード確認</t>
        </is>
      </c>
      <c r="D114" s="792" t="n"/>
      <c r="E114" s="793" t="n"/>
      <c r="F114" s="788" t="n"/>
      <c r="G114" s="793" t="n"/>
      <c r="H114" s="788" t="n"/>
      <c r="I114" s="793" t="n"/>
      <c r="J114" s="788" t="n"/>
      <c r="K114" s="793" t="n"/>
      <c r="L114" s="788" t="n"/>
      <c r="M114" s="793" t="n"/>
      <c r="N114" s="788" t="n"/>
    </row>
    <row r="115" ht="13.5" customHeight="1" s="614">
      <c r="A115" s="772" t="inlineStr">
        <is>
          <t>脱水機室排気ファン</t>
        </is>
      </c>
      <c r="B115" s="768" t="inlineStr">
        <is>
          <t>―</t>
        </is>
      </c>
      <c r="C115" s="825" t="inlineStr">
        <is>
          <t>異音、振動</t>
        </is>
      </c>
      <c r="D115" s="829" t="n"/>
      <c r="E115" s="823" t="n"/>
      <c r="F115" s="824" t="n"/>
      <c r="G115" s="823" t="n"/>
      <c r="H115" s="824" t="n"/>
      <c r="I115" s="823" t="n"/>
      <c r="J115" s="824" t="n"/>
      <c r="K115" s="823" t="n"/>
      <c r="L115" s="824" t="n"/>
      <c r="M115" s="823" t="n"/>
      <c r="N115" s="824" t="n"/>
    </row>
    <row r="116" ht="13.5" customHeight="1" s="614">
      <c r="A116" s="769" t="n"/>
      <c r="B116" s="769" t="n"/>
      <c r="C116" s="791" t="inlineStr">
        <is>
          <t>モード確認</t>
        </is>
      </c>
      <c r="D116" s="792" t="n"/>
      <c r="E116" s="793" t="n"/>
      <c r="F116" s="788" t="n"/>
      <c r="G116" s="793" t="n"/>
      <c r="H116" s="788" t="n"/>
      <c r="I116" s="793" t="n"/>
      <c r="J116" s="788" t="n"/>
      <c r="K116" s="793" t="n"/>
      <c r="L116" s="788" t="n"/>
      <c r="M116" s="793" t="n"/>
      <c r="N116" s="788" t="n"/>
    </row>
    <row r="117" ht="13.5" customHeight="1" s="614">
      <c r="A117" s="809" t="inlineStr">
        <is>
          <t xml:space="preserve">　　備　　考</t>
        </is>
      </c>
      <c r="B117" s="839" t="n"/>
      <c r="C117" s="839" t="n"/>
      <c r="D117" s="839" t="n"/>
      <c r="E117" s="839" t="n"/>
      <c r="F117" s="839" t="n"/>
      <c r="G117" s="839" t="n"/>
      <c r="H117" s="839" t="n"/>
      <c r="I117" s="839" t="n"/>
      <c r="J117" s="839" t="n"/>
      <c r="K117" s="839" t="n"/>
      <c r="L117" s="839" t="n"/>
      <c r="M117" s="839" t="n"/>
      <c r="N117" s="840" t="n"/>
    </row>
    <row r="118" ht="13.5" customHeight="1" s="614">
      <c r="A118" s="809" t="n"/>
      <c r="B118" s="839" t="n"/>
      <c r="C118" s="839" t="n"/>
      <c r="D118" s="839" t="n"/>
      <c r="E118" s="839" t="n"/>
      <c r="F118" s="839" t="n"/>
      <c r="G118" s="839" t="n"/>
      <c r="H118" s="839" t="n"/>
      <c r="I118" s="839" t="n"/>
      <c r="J118" s="839" t="n"/>
      <c r="K118" s="839" t="n"/>
      <c r="L118" s="839" t="n"/>
      <c r="M118" s="839" t="n"/>
      <c r="N118" s="840" t="n"/>
    </row>
    <row r="119" ht="13.5" customHeight="1" s="614">
      <c r="A119" s="809" t="n"/>
      <c r="B119" s="839" t="n"/>
      <c r="C119" s="839" t="n"/>
      <c r="D119" s="839" t="n"/>
      <c r="E119" s="839" t="n"/>
      <c r="F119" s="839" t="n"/>
      <c r="G119" s="839" t="n"/>
      <c r="H119" s="839" t="n"/>
      <c r="I119" s="839" t="n"/>
      <c r="J119" s="839" t="n"/>
      <c r="K119" s="839" t="n"/>
      <c r="L119" s="839" t="n"/>
      <c r="M119" s="839" t="n"/>
      <c r="N119" s="840" t="n"/>
    </row>
    <row r="120" ht="13.5" customHeight="1" s="614">
      <c r="A120" s="809" t="n"/>
      <c r="B120" s="839" t="n"/>
      <c r="C120" s="839" t="n"/>
      <c r="D120" s="839" t="n"/>
      <c r="E120" s="839" t="n"/>
      <c r="F120" s="839" t="n"/>
      <c r="G120" s="839" t="n"/>
      <c r="H120" s="839" t="n"/>
      <c r="I120" s="839" t="n"/>
      <c r="J120" s="839" t="n"/>
      <c r="K120" s="839" t="n"/>
      <c r="L120" s="839" t="n"/>
      <c r="M120" s="839" t="n"/>
      <c r="N120" s="840" t="n"/>
    </row>
    <row r="121" ht="13.5" customHeight="1" s="614">
      <c r="A121" s="809" t="n"/>
      <c r="B121" s="839" t="n"/>
      <c r="C121" s="839" t="n"/>
      <c r="D121" s="839" t="n"/>
      <c r="E121" s="839" t="n"/>
      <c r="F121" s="839" t="n"/>
      <c r="G121" s="839" t="n"/>
      <c r="H121" s="839" t="n"/>
      <c r="I121" s="839" t="n"/>
      <c r="J121" s="839" t="n"/>
      <c r="K121" s="839" t="n"/>
      <c r="L121" s="839" t="n"/>
      <c r="M121" s="839" t="n"/>
      <c r="N121" s="840" t="n"/>
    </row>
    <row r="122" ht="13.5" customHeight="1" s="614">
      <c r="A122" s="809" t="n"/>
      <c r="B122" s="839" t="n"/>
      <c r="C122" s="839" t="n"/>
      <c r="D122" s="839" t="n"/>
      <c r="E122" s="839" t="n"/>
      <c r="F122" s="839" t="n"/>
      <c r="G122" s="839" t="n"/>
      <c r="H122" s="839" t="n"/>
      <c r="I122" s="839" t="n"/>
      <c r="J122" s="839" t="n"/>
      <c r="K122" s="839" t="n"/>
      <c r="L122" s="839" t="n"/>
      <c r="M122" s="839" t="n"/>
      <c r="N122" s="840" t="n"/>
    </row>
    <row r="123" ht="13.5" customHeight="1" s="614">
      <c r="A123" s="809" t="n"/>
      <c r="B123" s="839" t="n"/>
      <c r="C123" s="839" t="n"/>
      <c r="D123" s="839" t="n"/>
      <c r="E123" s="839" t="n"/>
      <c r="F123" s="839" t="n"/>
      <c r="G123" s="839" t="n"/>
      <c r="H123" s="839" t="n"/>
      <c r="I123" s="839" t="n"/>
      <c r="J123" s="839" t="n"/>
      <c r="K123" s="839" t="n"/>
      <c r="L123" s="839" t="n"/>
      <c r="M123" s="839" t="n"/>
      <c r="N123" s="840" t="n"/>
    </row>
    <row r="124" ht="13.5" customHeight="1" s="614">
      <c r="A124" s="809" t="n"/>
      <c r="B124" s="839" t="n"/>
      <c r="C124" s="839" t="n"/>
      <c r="D124" s="839" t="n"/>
      <c r="E124" s="839" t="n"/>
      <c r="F124" s="839" t="n"/>
      <c r="G124" s="839" t="n"/>
      <c r="H124" s="839" t="n"/>
      <c r="I124" s="839" t="n"/>
      <c r="J124" s="839" t="n"/>
      <c r="K124" s="839" t="n"/>
      <c r="L124" s="839" t="n"/>
      <c r="M124" s="839" t="n"/>
      <c r="N124" s="840" t="n"/>
    </row>
    <row r="125" ht="13.5" customHeight="1" s="614">
      <c r="A125" s="809" t="n"/>
      <c r="B125" s="839" t="n"/>
      <c r="C125" s="839" t="n"/>
      <c r="D125" s="839" t="n"/>
      <c r="E125" s="839" t="n"/>
      <c r="F125" s="839" t="n"/>
      <c r="G125" s="839" t="n"/>
      <c r="H125" s="839" t="n"/>
      <c r="I125" s="839" t="n"/>
      <c r="J125" s="839" t="n"/>
      <c r="K125" s="839" t="n"/>
      <c r="L125" s="839" t="n"/>
      <c r="M125" s="839" t="n"/>
      <c r="N125" s="840" t="n"/>
    </row>
    <row r="126" ht="13.5" customHeight="1" s="614">
      <c r="A126" s="809" t="n"/>
      <c r="B126" s="839" t="n"/>
      <c r="C126" s="839" t="n"/>
      <c r="D126" s="839" t="n"/>
      <c r="E126" s="839" t="n"/>
      <c r="F126" s="839" t="n"/>
      <c r="G126" s="839" t="n"/>
      <c r="H126" s="839" t="n"/>
      <c r="I126" s="839" t="n"/>
      <c r="J126" s="839" t="n"/>
      <c r="K126" s="839" t="n"/>
      <c r="L126" s="839" t="n"/>
      <c r="M126" s="839" t="n"/>
      <c r="N126" s="840" t="n"/>
    </row>
    <row r="127" ht="13.5" customHeight="1" s="614">
      <c r="A127" s="809" t="n"/>
      <c r="B127" s="839" t="n"/>
      <c r="C127" s="839" t="n"/>
      <c r="D127" s="839" t="n"/>
      <c r="E127" s="839" t="n"/>
      <c r="F127" s="839" t="n"/>
      <c r="G127" s="839" t="n"/>
      <c r="H127" s="839" t="n"/>
      <c r="I127" s="839" t="n"/>
      <c r="J127" s="839" t="n"/>
      <c r="K127" s="839" t="n"/>
      <c r="L127" s="839" t="n"/>
      <c r="M127" s="839" t="n"/>
      <c r="N127" s="840" t="n"/>
    </row>
    <row r="128" ht="13.5" customHeight="1" s="614">
      <c r="A128" s="809" t="n"/>
      <c r="B128" s="839" t="n"/>
      <c r="C128" s="839" t="n"/>
      <c r="D128" s="839" t="n"/>
      <c r="E128" s="839" t="n"/>
      <c r="F128" s="839" t="n"/>
      <c r="G128" s="839" t="n"/>
      <c r="H128" s="839" t="n"/>
      <c r="I128" s="839" t="n"/>
      <c r="J128" s="839" t="n"/>
      <c r="K128" s="839" t="n"/>
      <c r="L128" s="839" t="n"/>
      <c r="M128" s="839" t="n"/>
      <c r="N128" s="840" t="n"/>
    </row>
    <row r="129" ht="13.5" customHeight="1" s="614">
      <c r="A129" s="809" t="n"/>
      <c r="B129" s="839" t="n"/>
      <c r="C129" s="839" t="n"/>
      <c r="D129" s="839" t="n"/>
      <c r="E129" s="839" t="n"/>
      <c r="F129" s="839" t="n"/>
      <c r="G129" s="839" t="n"/>
      <c r="H129" s="839" t="n"/>
      <c r="I129" s="839" t="n"/>
      <c r="J129" s="839" t="n"/>
      <c r="K129" s="839" t="n"/>
      <c r="L129" s="839" t="n"/>
      <c r="M129" s="839" t="n"/>
      <c r="N129" s="840" t="n"/>
    </row>
    <row r="130" ht="13.5" customHeight="1" s="614">
      <c r="A130" s="809" t="n"/>
      <c r="B130" s="839" t="n"/>
      <c r="C130" s="839" t="n"/>
      <c r="D130" s="839" t="n"/>
      <c r="E130" s="839" t="n"/>
      <c r="F130" s="839" t="n"/>
      <c r="G130" s="839" t="n"/>
      <c r="H130" s="839" t="n"/>
      <c r="I130" s="839" t="n"/>
      <c r="J130" s="839" t="n"/>
      <c r="K130" s="839" t="n"/>
      <c r="L130" s="839" t="n"/>
      <c r="M130" s="839" t="n"/>
      <c r="N130" s="840" t="n"/>
    </row>
    <row r="131" ht="13.5" customHeight="1" s="614">
      <c r="A131" s="785" t="n"/>
      <c r="B131" s="819" t="n"/>
      <c r="C131" s="819" t="n"/>
      <c r="D131" s="819" t="n"/>
      <c r="E131" s="819" t="n"/>
      <c r="F131" s="819" t="n"/>
      <c r="G131" s="819" t="n"/>
      <c r="H131" s="819" t="n"/>
      <c r="I131" s="819" t="n"/>
      <c r="J131" s="819" t="n"/>
      <c r="K131" s="819" t="n"/>
      <c r="L131" s="819" t="n"/>
      <c r="M131" s="819" t="n"/>
      <c r="N131" s="841" t="n"/>
    </row>
    <row r="132" ht="13.5" customHeight="1" s="614">
      <c r="A132" s="820" t="inlineStr">
        <is>
          <t xml:space="preserve">　○：良　　△：要注意　　×：要修理</t>
        </is>
      </c>
    </row>
    <row r="133" ht="21" customHeight="1" s="614">
      <c r="A133" s="764" t="inlineStr">
        <is>
          <t>機械設備日常点検表（１/２）</t>
        </is>
      </c>
      <c r="B133" s="674" t="n"/>
      <c r="C133" s="765" t="n"/>
      <c r="D133" s="674" t="n"/>
      <c r="E133" s="674" t="n"/>
      <c r="F133" s="674" t="n"/>
      <c r="G133" s="674" t="n"/>
      <c r="H133" s="674" t="n"/>
      <c r="I133" s="674" t="n"/>
      <c r="J133" s="674" t="n"/>
      <c r="K133" s="765">
        <f>K1</f>
        <v/>
      </c>
      <c r="L133" s="765" t="n"/>
      <c r="M133" s="765" t="n"/>
      <c r="N133" s="674" t="n"/>
    </row>
    <row r="134" ht="13.5" customHeight="1" s="614">
      <c r="A134" s="767" t="inlineStr">
        <is>
          <t>機　器　名</t>
        </is>
      </c>
      <c r="B134" s="768" t="inlineStr">
        <is>
          <t>No</t>
        </is>
      </c>
      <c r="C134" s="767" t="inlineStr">
        <is>
          <t>点 検 者</t>
        </is>
      </c>
      <c r="D134" s="627" t="n"/>
      <c r="E134" s="842" t="n"/>
      <c r="F134" s="626" t="n"/>
      <c r="G134" s="842" t="n"/>
      <c r="H134" s="626" t="n"/>
      <c r="I134" s="842" t="n"/>
      <c r="J134" s="626" t="n"/>
      <c r="K134" s="843" t="n"/>
      <c r="L134" s="626" t="n"/>
      <c r="M134" s="767" t="n"/>
      <c r="N134" s="627" t="n"/>
    </row>
    <row r="135" ht="13.5" customHeight="1" s="614">
      <c r="A135" s="769" t="n"/>
      <c r="B135" s="769" t="n"/>
      <c r="C135" s="770" t="inlineStr">
        <is>
          <t>点検内容</t>
        </is>
      </c>
      <c r="D135" s="627" t="n"/>
      <c r="E135" s="771" t="n"/>
      <c r="F135" s="627" t="n"/>
      <c r="G135" s="771" t="n"/>
      <c r="H135" s="627" t="n"/>
      <c r="I135" s="771" t="n"/>
      <c r="J135" s="627" t="n"/>
      <c r="K135" s="771" t="n"/>
      <c r="L135" s="627" t="n"/>
      <c r="M135" s="771" t="n"/>
      <c r="N135" s="627" t="n"/>
    </row>
    <row r="136" ht="13.5" customHeight="1" s="614">
      <c r="A136" s="772" t="inlineStr">
        <is>
          <t>ポンプ井</t>
        </is>
      </c>
      <c r="B136" s="768" t="inlineStr">
        <is>
          <t>―</t>
        </is>
      </c>
      <c r="C136" s="773" t="inlineStr">
        <is>
          <t>内部状況確認</t>
        </is>
      </c>
      <c r="D136" s="805" t="n"/>
      <c r="E136" s="775" t="n"/>
      <c r="F136" s="627" t="n"/>
      <c r="G136" s="775" t="n"/>
      <c r="H136" s="627" t="n"/>
      <c r="I136" s="775" t="n"/>
      <c r="J136" s="627" t="n"/>
      <c r="K136" s="775" t="n"/>
      <c r="L136" s="627" t="n"/>
      <c r="M136" s="775" t="n"/>
      <c r="N136" s="627" t="n"/>
    </row>
    <row r="137" ht="13.5" customHeight="1" s="614">
      <c r="A137" s="772" t="inlineStr">
        <is>
          <t>汚水ポンプ</t>
        </is>
      </c>
      <c r="B137" s="768" t="n">
        <v>1</v>
      </c>
      <c r="C137" s="776" t="inlineStr">
        <is>
          <t>電流値</t>
        </is>
      </c>
      <c r="D137" s="777" t="inlineStr">
        <is>
          <t>Ａ</t>
        </is>
      </c>
      <c r="E137" s="778" t="n"/>
      <c r="F137" s="779" t="n"/>
      <c r="G137" s="778" t="n"/>
      <c r="H137" s="779" t="n"/>
      <c r="I137" s="778" t="n"/>
      <c r="J137" s="779" t="n"/>
      <c r="K137" s="778" t="n"/>
      <c r="L137" s="779" t="n"/>
      <c r="M137" s="778" t="n"/>
      <c r="N137" s="779" t="n"/>
    </row>
    <row r="138" ht="13.5" customHeight="1" s="614">
      <c r="A138" s="780" t="n"/>
      <c r="B138" s="780" t="n"/>
      <c r="C138" s="781" t="inlineStr">
        <is>
          <t>吐出圧力</t>
        </is>
      </c>
      <c r="D138" s="782" t="inlineStr">
        <is>
          <t>Mpa</t>
        </is>
      </c>
      <c r="E138" s="783" t="n"/>
      <c r="F138" s="784" t="n"/>
      <c r="G138" s="783" t="n"/>
      <c r="H138" s="784" t="n"/>
      <c r="I138" s="783" t="n"/>
      <c r="J138" s="784" t="n"/>
      <c r="K138" s="783" t="n"/>
      <c r="L138" s="784" t="n"/>
      <c r="M138" s="783" t="n"/>
      <c r="N138" s="784" t="n"/>
    </row>
    <row r="139" ht="13.5" customHeight="1" s="614">
      <c r="A139" s="780" t="n"/>
      <c r="B139" s="769" t="n"/>
      <c r="C139" s="785" t="inlineStr">
        <is>
          <t>異音、振動</t>
        </is>
      </c>
      <c r="D139" s="786" t="n"/>
      <c r="E139" s="787" t="n"/>
      <c r="F139" s="788" t="n"/>
      <c r="G139" s="787" t="n"/>
      <c r="H139" s="788" t="n"/>
      <c r="I139" s="787" t="n"/>
      <c r="J139" s="788" t="n"/>
      <c r="K139" s="787" t="n"/>
      <c r="L139" s="788" t="n"/>
      <c r="M139" s="787" t="n"/>
      <c r="N139" s="788" t="n"/>
    </row>
    <row r="140" ht="13.5" customHeight="1" s="614">
      <c r="A140" s="780" t="n"/>
      <c r="B140" s="768" t="n">
        <v>2</v>
      </c>
      <c r="C140" s="776" t="inlineStr">
        <is>
          <t>電流値</t>
        </is>
      </c>
      <c r="D140" s="777" t="inlineStr">
        <is>
          <t>Ａ</t>
        </is>
      </c>
      <c r="E140" s="778" t="n"/>
      <c r="F140" s="779" t="n"/>
      <c r="G140" s="778" t="n"/>
      <c r="H140" s="779" t="n"/>
      <c r="I140" s="778" t="n"/>
      <c r="J140" s="779" t="n"/>
      <c r="K140" s="778" t="n"/>
      <c r="L140" s="779" t="n"/>
      <c r="M140" s="778" t="n"/>
      <c r="N140" s="779" t="n"/>
    </row>
    <row r="141" ht="13.5" customHeight="1" s="614">
      <c r="A141" s="780" t="n"/>
      <c r="B141" s="780" t="n"/>
      <c r="C141" s="781" t="inlineStr">
        <is>
          <t>吐出圧力</t>
        </is>
      </c>
      <c r="D141" s="782" t="inlineStr">
        <is>
          <t>Mpa</t>
        </is>
      </c>
      <c r="E141" s="783" t="n"/>
      <c r="F141" s="784" t="n"/>
      <c r="G141" s="783" t="n"/>
      <c r="H141" s="784" t="n"/>
      <c r="I141" s="783" t="n"/>
      <c r="J141" s="784" t="n"/>
      <c r="K141" s="783" t="n"/>
      <c r="L141" s="784" t="n"/>
      <c r="M141" s="783" t="n"/>
      <c r="N141" s="784" t="n"/>
      <c r="P141" s="675" t="n"/>
    </row>
    <row r="142" ht="13.5" customHeight="1" s="614">
      <c r="A142" s="780" t="n"/>
      <c r="B142" s="769" t="n"/>
      <c r="C142" s="785">
        <f>C139</f>
        <v/>
      </c>
      <c r="D142" s="786" t="n"/>
      <c r="E142" s="787" t="n"/>
      <c r="F142" s="788" t="n"/>
      <c r="G142" s="787" t="n"/>
      <c r="H142" s="788" t="n"/>
      <c r="I142" s="787" t="n"/>
      <c r="J142" s="788" t="n"/>
      <c r="K142" s="787" t="n"/>
      <c r="L142" s="788" t="n"/>
      <c r="M142" s="787" t="n"/>
      <c r="N142" s="788" t="n"/>
    </row>
    <row r="143" ht="13.5" customHeight="1" s="614">
      <c r="A143" s="780" t="n"/>
      <c r="B143" s="768" t="inlineStr">
        <is>
          <t>―</t>
        </is>
      </c>
      <c r="C143" s="776" t="inlineStr">
        <is>
          <t>モード確認</t>
        </is>
      </c>
      <c r="D143" s="777" t="n"/>
      <c r="E143" s="789" t="n"/>
      <c r="F143" s="779" t="n"/>
      <c r="G143" s="789" t="n"/>
      <c r="H143" s="779" t="n"/>
      <c r="I143" s="789" t="n"/>
      <c r="J143" s="779" t="n"/>
      <c r="K143" s="789" t="n"/>
      <c r="L143" s="779" t="n"/>
      <c r="M143" s="789" t="n"/>
      <c r="N143" s="779" t="n"/>
      <c r="P143" s="790" t="n"/>
      <c r="Q143" s="790" t="n"/>
      <c r="R143" s="790" t="n"/>
    </row>
    <row r="144" ht="13.5" customHeight="1" s="614">
      <c r="A144" s="769" t="n"/>
      <c r="B144" s="769" t="n"/>
      <c r="C144" s="791" t="inlineStr">
        <is>
          <t>常用機選択</t>
        </is>
      </c>
      <c r="D144" s="792" t="n"/>
      <c r="E144" s="793" t="n"/>
      <c r="F144" s="788" t="n"/>
      <c r="G144" s="793" t="n"/>
      <c r="H144" s="788" t="n"/>
      <c r="I144" s="793" t="n"/>
      <c r="J144" s="788" t="n"/>
      <c r="K144" s="793" t="n"/>
      <c r="L144" s="788" t="n"/>
      <c r="M144" s="793" t="n"/>
      <c r="N144" s="788" t="n"/>
      <c r="P144" s="794" t="n"/>
      <c r="Q144" s="794" t="n"/>
      <c r="R144" s="790" t="n"/>
    </row>
    <row r="145" ht="13.5" customHeight="1" s="614">
      <c r="A145" s="795" t="inlineStr">
        <is>
          <t>スクリーンユニット</t>
        </is>
      </c>
      <c r="B145" s="796" t="n"/>
      <c r="C145" s="781" t="inlineStr">
        <is>
          <t>異音、振動</t>
        </is>
      </c>
      <c r="D145" s="782" t="n"/>
      <c r="E145" s="797" t="n"/>
      <c r="F145" s="779" t="n"/>
      <c r="G145" s="797" t="n"/>
      <c r="H145" s="779" t="n"/>
      <c r="I145" s="797" t="n"/>
      <c r="J145" s="779" t="n"/>
      <c r="K145" s="797" t="n"/>
      <c r="L145" s="779" t="n"/>
      <c r="M145" s="797" t="n"/>
      <c r="N145" s="779" t="n"/>
      <c r="S145" s="790" t="n"/>
    </row>
    <row r="146" ht="13.5" customHeight="1" s="614">
      <c r="A146" s="780" t="n"/>
      <c r="B146" s="780" t="n"/>
      <c r="C146" s="781" t="inlineStr">
        <is>
          <t>し渣量の確認</t>
        </is>
      </c>
      <c r="D146" s="782" t="n"/>
      <c r="E146" s="798" t="n"/>
      <c r="F146" s="784" t="n"/>
      <c r="G146" s="798" t="n"/>
      <c r="H146" s="784" t="n"/>
      <c r="I146" s="798" t="n"/>
      <c r="J146" s="784" t="n"/>
      <c r="K146" s="798" t="n"/>
      <c r="L146" s="784" t="n"/>
      <c r="M146" s="798" t="n"/>
      <c r="N146" s="784" t="n"/>
      <c r="P146" s="712" t="n"/>
      <c r="Q146" s="712" t="n"/>
      <c r="R146" s="790" t="n"/>
    </row>
    <row r="147" ht="13.5" customHeight="1" s="614">
      <c r="A147" s="769" t="n"/>
      <c r="B147" s="769" t="n"/>
      <c r="C147" s="785" t="inlineStr">
        <is>
          <t>運転動作</t>
        </is>
      </c>
      <c r="D147" s="786" t="n"/>
      <c r="E147" s="787" t="n"/>
      <c r="F147" s="788" t="n"/>
      <c r="G147" s="787" t="n"/>
      <c r="H147" s="788" t="n"/>
      <c r="I147" s="787" t="n"/>
      <c r="J147" s="788" t="n"/>
      <c r="K147" s="787" t="n"/>
      <c r="L147" s="788" t="n"/>
      <c r="M147" s="787" t="n"/>
      <c r="N147" s="788" t="n"/>
      <c r="P147" s="790" t="n"/>
      <c r="Q147" s="790" t="n"/>
    </row>
    <row r="148" ht="13.5" customHeight="1" s="614">
      <c r="A148" s="799" t="inlineStr">
        <is>
          <t>エアレーション装置</t>
        </is>
      </c>
      <c r="B148" s="800" t="inlineStr">
        <is>
          <t>1-1</t>
        </is>
      </c>
      <c r="C148" s="776" t="inlineStr">
        <is>
          <t>電流値</t>
        </is>
      </c>
      <c r="D148" s="777" t="inlineStr">
        <is>
          <t>Ａ</t>
        </is>
      </c>
      <c r="E148" s="778" t="n"/>
      <c r="F148" s="779" t="n"/>
      <c r="G148" s="778" t="n"/>
      <c r="H148" s="779" t="n"/>
      <c r="I148" s="778" t="n"/>
      <c r="J148" s="779" t="n"/>
      <c r="K148" s="778" t="n"/>
      <c r="L148" s="779" t="n"/>
      <c r="M148" s="778" t="n"/>
      <c r="N148" s="779" t="n"/>
    </row>
    <row r="149" ht="13.5" customHeight="1" s="614">
      <c r="A149" s="780" t="n"/>
      <c r="B149" s="780" t="n"/>
      <c r="C149" s="781">
        <f>C145</f>
        <v/>
      </c>
      <c r="D149" s="782" t="n"/>
      <c r="E149" s="783" t="n"/>
      <c r="F149" s="784" t="n"/>
      <c r="G149" s="783" t="n"/>
      <c r="H149" s="784" t="n"/>
      <c r="I149" s="783" t="n"/>
      <c r="J149" s="784" t="n"/>
      <c r="K149" s="783" t="n"/>
      <c r="L149" s="784" t="n"/>
      <c r="M149" s="783" t="n"/>
      <c r="N149" s="784" t="n"/>
    </row>
    <row r="150" ht="13.5" customHeight="1" s="614">
      <c r="A150" s="780" t="n"/>
      <c r="B150" s="769" t="n"/>
      <c r="C150" s="785">
        <f>C143</f>
        <v/>
      </c>
      <c r="D150" s="786" t="n"/>
      <c r="E150" s="793" t="n"/>
      <c r="F150" s="788" t="n"/>
      <c r="G150" s="793" t="n"/>
      <c r="H150" s="788" t="n"/>
      <c r="I150" s="793" t="n"/>
      <c r="J150" s="788" t="n"/>
      <c r="K150" s="793" t="n"/>
      <c r="L150" s="788" t="n"/>
      <c r="M150" s="793" t="n"/>
      <c r="N150" s="788" t="n"/>
    </row>
    <row r="151" ht="13.5" customHeight="1" s="614">
      <c r="A151" s="780" t="n"/>
      <c r="B151" s="800" t="inlineStr">
        <is>
          <t>1-2</t>
        </is>
      </c>
      <c r="C151" s="776" t="inlineStr">
        <is>
          <t>電流値</t>
        </is>
      </c>
      <c r="D151" s="777" t="inlineStr">
        <is>
          <t>Ａ</t>
        </is>
      </c>
      <c r="E151" s="778" t="n"/>
      <c r="F151" s="779" t="n"/>
      <c r="G151" s="778" t="n"/>
      <c r="H151" s="779" t="n"/>
      <c r="I151" s="778" t="n"/>
      <c r="J151" s="779" t="n"/>
      <c r="K151" s="778" t="n"/>
      <c r="L151" s="779" t="n"/>
      <c r="M151" s="778" t="n"/>
      <c r="N151" s="779" t="n"/>
    </row>
    <row r="152" ht="13.5" customHeight="1" s="614">
      <c r="A152" s="780" t="n"/>
      <c r="B152" s="780" t="n"/>
      <c r="C152" s="781">
        <f>C149</f>
        <v/>
      </c>
      <c r="D152" s="782" t="n"/>
      <c r="E152" s="783" t="n"/>
      <c r="F152" s="784" t="n"/>
      <c r="G152" s="783" t="n"/>
      <c r="H152" s="784" t="n"/>
      <c r="I152" s="783" t="n"/>
      <c r="J152" s="784" t="n"/>
      <c r="K152" s="783" t="n"/>
      <c r="L152" s="784" t="n"/>
      <c r="M152" s="783" t="n"/>
      <c r="N152" s="784" t="n"/>
    </row>
    <row r="153" ht="13.5" customHeight="1" s="614">
      <c r="A153" s="780" t="n"/>
      <c r="B153" s="769" t="n"/>
      <c r="C153" s="785">
        <f>C150</f>
        <v/>
      </c>
      <c r="D153" s="786" t="n"/>
      <c r="E153" s="793" t="n"/>
      <c r="F153" s="788" t="n"/>
      <c r="G153" s="793" t="n"/>
      <c r="H153" s="788" t="n"/>
      <c r="I153" s="793" t="n"/>
      <c r="J153" s="788" t="n"/>
      <c r="K153" s="793" t="n"/>
      <c r="L153" s="788" t="n"/>
      <c r="M153" s="793" t="n"/>
      <c r="N153" s="788" t="n"/>
    </row>
    <row r="154" ht="13.5" customHeight="1" s="614">
      <c r="A154" s="799" t="inlineStr">
        <is>
          <t>曝気ブロワー</t>
        </is>
      </c>
      <c r="B154" s="801" t="inlineStr">
        <is>
          <t>№１</t>
        </is>
      </c>
      <c r="C154" s="776" t="inlineStr">
        <is>
          <t>電流値</t>
        </is>
      </c>
      <c r="D154" s="777" t="inlineStr">
        <is>
          <t>Ａ</t>
        </is>
      </c>
      <c r="E154" s="778" t="n"/>
      <c r="F154" s="779" t="n"/>
      <c r="G154" s="778" t="n"/>
      <c r="H154" s="779" t="n"/>
      <c r="I154" s="778" t="n"/>
      <c r="J154" s="779" t="n"/>
      <c r="K154" s="778" t="n"/>
      <c r="L154" s="779" t="n"/>
      <c r="M154" s="778" t="n"/>
      <c r="N154" s="779" t="n"/>
    </row>
    <row r="155" ht="13.5" customHeight="1" s="614">
      <c r="A155" s="780" t="n"/>
      <c r="B155" s="780" t="n"/>
      <c r="C155" s="781">
        <f>C152</f>
        <v/>
      </c>
      <c r="D155" s="782" t="n"/>
      <c r="E155" s="798" t="n"/>
      <c r="F155" s="784" t="n"/>
      <c r="G155" s="798" t="n"/>
      <c r="H155" s="784" t="n"/>
      <c r="I155" s="798" t="n"/>
      <c r="J155" s="784" t="n"/>
      <c r="K155" s="798" t="n"/>
      <c r="L155" s="784" t="n"/>
      <c r="M155" s="798" t="n"/>
      <c r="N155" s="784" t="n"/>
    </row>
    <row r="156" ht="13.5" customHeight="1" s="614">
      <c r="A156" s="780" t="n"/>
      <c r="B156" s="769" t="n"/>
      <c r="C156" s="785">
        <f>C153</f>
        <v/>
      </c>
      <c r="D156" s="786" t="n"/>
      <c r="E156" s="844" t="n"/>
      <c r="F156" s="788" t="n"/>
      <c r="G156" s="844" t="n"/>
      <c r="H156" s="788" t="n"/>
      <c r="I156" s="844" t="n"/>
      <c r="J156" s="788" t="n"/>
      <c r="K156" s="844" t="n"/>
      <c r="L156" s="788" t="n"/>
      <c r="M156" s="844" t="n"/>
      <c r="N156" s="788" t="n"/>
    </row>
    <row r="157" ht="13.5" customHeight="1" s="614">
      <c r="A157" s="780" t="n"/>
      <c r="B157" s="801" t="inlineStr">
        <is>
          <t>№２</t>
        </is>
      </c>
      <c r="C157" s="776" t="inlineStr">
        <is>
          <t>電流値</t>
        </is>
      </c>
      <c r="D157" s="777" t="inlineStr">
        <is>
          <t>Ａ</t>
        </is>
      </c>
      <c r="E157" s="833" t="n"/>
      <c r="F157" s="824" t="n"/>
      <c r="G157" s="833" t="n"/>
      <c r="H157" s="824" t="n"/>
      <c r="I157" s="833" t="n"/>
      <c r="J157" s="824" t="n"/>
      <c r="K157" s="833" t="n"/>
      <c r="L157" s="824" t="n"/>
      <c r="M157" s="833" t="n"/>
      <c r="N157" s="824" t="n"/>
    </row>
    <row r="158" ht="13.5" customHeight="1" s="614">
      <c r="A158" s="780" t="n"/>
      <c r="B158" s="780" t="n"/>
      <c r="C158" s="781">
        <f>C155</f>
        <v/>
      </c>
      <c r="D158" s="782" t="n"/>
      <c r="E158" s="783" t="n"/>
      <c r="F158" s="784" t="n"/>
      <c r="G158" s="783" t="n"/>
      <c r="H158" s="784" t="n"/>
      <c r="I158" s="783" t="n"/>
      <c r="J158" s="784" t="n"/>
      <c r="K158" s="783" t="n"/>
      <c r="L158" s="784" t="n"/>
      <c r="M158" s="783" t="n"/>
      <c r="N158" s="784" t="n"/>
    </row>
    <row r="159" ht="13.5" customHeight="1" s="614">
      <c r="A159" s="780" t="n"/>
      <c r="B159" s="769" t="n"/>
      <c r="C159" s="785">
        <f>C156</f>
        <v/>
      </c>
      <c r="D159" s="786" t="n"/>
      <c r="E159" s="845" t="n"/>
      <c r="F159" s="784" t="n"/>
      <c r="G159" s="845" t="n"/>
      <c r="H159" s="784" t="n"/>
      <c r="I159" s="845" t="n"/>
      <c r="J159" s="784" t="n"/>
      <c r="K159" s="845" t="n"/>
      <c r="L159" s="784" t="n"/>
      <c r="M159" s="845" t="n"/>
      <c r="N159" s="784" t="n"/>
    </row>
    <row r="160" ht="13.5" customHeight="1" s="614">
      <c r="A160" s="772" t="inlineStr">
        <is>
          <t>消泡装置</t>
        </is>
      </c>
      <c r="B160" s="768" t="inlineStr">
        <is>
          <t>―</t>
        </is>
      </c>
      <c r="C160" s="776" t="inlineStr">
        <is>
          <t>消泡ノズル</t>
        </is>
      </c>
      <c r="D160" s="777" t="n"/>
      <c r="E160" s="797" t="n"/>
      <c r="F160" s="779" t="n"/>
      <c r="G160" s="797" t="n"/>
      <c r="H160" s="779" t="n"/>
      <c r="I160" s="797" t="n"/>
      <c r="J160" s="779" t="n"/>
      <c r="K160" s="797" t="n"/>
      <c r="L160" s="779" t="n"/>
      <c r="M160" s="797" t="n"/>
      <c r="N160" s="779" t="n"/>
    </row>
    <row r="161" ht="13.5" customHeight="1" s="614">
      <c r="A161" s="769" t="n"/>
      <c r="B161" s="769" t="n"/>
      <c r="C161" s="791" t="inlineStr">
        <is>
          <t>消泡状態</t>
        </is>
      </c>
      <c r="D161" s="792" t="n"/>
      <c r="E161" s="787" t="n"/>
      <c r="F161" s="788" t="n"/>
      <c r="G161" s="787" t="n"/>
      <c r="H161" s="788" t="n"/>
      <c r="I161" s="787" t="n"/>
      <c r="J161" s="788" t="n"/>
      <c r="K161" s="787" t="n"/>
      <c r="L161" s="788" t="n"/>
      <c r="M161" s="787" t="n"/>
      <c r="N161" s="788" t="n"/>
    </row>
    <row r="162" ht="13.5" customHeight="1" s="614">
      <c r="A162" s="799" t="inlineStr">
        <is>
          <t>ディッチ流出可動堰</t>
        </is>
      </c>
      <c r="B162" s="804" t="n">
        <v>1</v>
      </c>
      <c r="C162" s="776" t="inlineStr">
        <is>
          <t>開度</t>
        </is>
      </c>
      <c r="D162" s="777" t="inlineStr">
        <is>
          <t>㎜</t>
        </is>
      </c>
      <c r="E162" s="797" t="n"/>
      <c r="F162" s="779" t="n"/>
      <c r="G162" s="797" t="n"/>
      <c r="H162" s="779" t="n"/>
      <c r="I162" s="797" t="n"/>
      <c r="J162" s="779" t="n"/>
      <c r="K162" s="797" t="n"/>
      <c r="L162" s="779" t="n"/>
      <c r="M162" s="797" t="n"/>
      <c r="N162" s="779" t="n"/>
    </row>
    <row r="163" ht="13.5" customHeight="1" s="614">
      <c r="A163" s="799" t="inlineStr">
        <is>
          <t>ディッチ流出ゲート</t>
        </is>
      </c>
      <c r="B163" s="804" t="n">
        <v>1</v>
      </c>
      <c r="C163" s="776" t="inlineStr">
        <is>
          <t>開度</t>
        </is>
      </c>
      <c r="D163" s="777" t="inlineStr">
        <is>
          <t>㎜</t>
        </is>
      </c>
      <c r="E163" s="797" t="n"/>
      <c r="F163" s="779" t="n"/>
      <c r="G163" s="797" t="n"/>
      <c r="H163" s="779" t="n"/>
      <c r="I163" s="797" t="n"/>
      <c r="J163" s="779" t="n"/>
      <c r="K163" s="797" t="n"/>
      <c r="L163" s="779" t="n"/>
      <c r="M163" s="797" t="n"/>
      <c r="N163" s="779" t="n"/>
    </row>
    <row r="164" ht="13.5" customHeight="1" s="614">
      <c r="A164" s="772" t="inlineStr">
        <is>
          <t>ディッチ連絡ゲート</t>
        </is>
      </c>
      <c r="B164" s="767" t="inlineStr">
        <is>
          <t>－</t>
        </is>
      </c>
      <c r="C164" s="773" t="inlineStr">
        <is>
          <t>開度</t>
        </is>
      </c>
      <c r="D164" s="805" t="inlineStr">
        <is>
          <t>㎜</t>
        </is>
      </c>
      <c r="E164" s="775" t="n"/>
      <c r="F164" s="627" t="n"/>
      <c r="G164" s="775" t="n"/>
      <c r="H164" s="627" t="n"/>
      <c r="I164" s="775" t="n"/>
      <c r="J164" s="627" t="n"/>
      <c r="K164" s="775" t="n"/>
      <c r="L164" s="627" t="n"/>
      <c r="M164" s="775" t="n"/>
      <c r="N164" s="627" t="n"/>
    </row>
    <row r="165" ht="13.5" customHeight="1" s="614">
      <c r="A165" s="799" t="inlineStr">
        <is>
          <t>終沈汚泥掻寄機</t>
        </is>
      </c>
      <c r="B165" s="767" t="n">
        <v>1</v>
      </c>
      <c r="C165" s="776" t="inlineStr">
        <is>
          <t>電流値</t>
        </is>
      </c>
      <c r="D165" s="777" t="inlineStr">
        <is>
          <t>Ａ</t>
        </is>
      </c>
      <c r="E165" s="806" t="n"/>
      <c r="F165" s="779" t="n"/>
      <c r="G165" s="806" t="n"/>
      <c r="H165" s="779" t="n"/>
      <c r="I165" s="806" t="n"/>
      <c r="J165" s="779" t="n"/>
      <c r="K165" s="806" t="n"/>
      <c r="L165" s="779" t="n"/>
      <c r="M165" s="806" t="n"/>
      <c r="N165" s="779" t="n"/>
    </row>
    <row r="166" ht="13.5" customHeight="1" s="614">
      <c r="A166" s="780" t="n"/>
      <c r="B166" s="769" t="n"/>
      <c r="C166" s="791" t="inlineStr">
        <is>
          <t>異音、振動等</t>
        </is>
      </c>
      <c r="D166" s="792" t="n"/>
      <c r="E166" s="787" t="n"/>
      <c r="F166" s="788" t="n"/>
      <c r="G166" s="787" t="n"/>
      <c r="H166" s="788" t="n"/>
      <c r="I166" s="787" t="n"/>
      <c r="J166" s="788" t="n"/>
      <c r="K166" s="787" t="n"/>
      <c r="L166" s="788" t="n"/>
      <c r="M166" s="787" t="n"/>
      <c r="N166" s="788" t="n"/>
    </row>
    <row r="167" ht="13.5" customHeight="1" s="614">
      <c r="A167" s="772" t="inlineStr">
        <is>
          <t>スカムスキマー</t>
        </is>
      </c>
      <c r="B167" s="767" t="n">
        <v>1</v>
      </c>
      <c r="C167" s="776" t="inlineStr">
        <is>
          <t>動作状況</t>
        </is>
      </c>
      <c r="D167" s="777" t="n"/>
      <c r="E167" s="797" t="n"/>
      <c r="F167" s="779" t="n"/>
      <c r="G167" s="797" t="n"/>
      <c r="H167" s="779" t="n"/>
      <c r="I167" s="797" t="n"/>
      <c r="J167" s="779" t="n"/>
      <c r="K167" s="797" t="n"/>
      <c r="L167" s="779" t="n"/>
      <c r="M167" s="797" t="n"/>
      <c r="N167" s="779" t="n"/>
    </row>
    <row r="168" ht="13.5" customHeight="1" s="614">
      <c r="A168" s="769" t="n"/>
      <c r="B168" s="769" t="n"/>
      <c r="C168" s="791" t="inlineStr">
        <is>
          <t>スカムの状況</t>
        </is>
      </c>
      <c r="D168" s="792" t="n"/>
      <c r="E168" s="793" t="n"/>
      <c r="F168" s="788" t="n"/>
      <c r="G168" s="793" t="n"/>
      <c r="H168" s="788" t="n"/>
      <c r="I168" s="793" t="n"/>
      <c r="J168" s="788" t="n"/>
      <c r="K168" s="793" t="n"/>
      <c r="L168" s="788" t="n"/>
      <c r="M168" s="793" t="n"/>
      <c r="N168" s="788" t="n"/>
    </row>
    <row r="169" ht="13.5" customHeight="1" s="614">
      <c r="A169" s="807" t="inlineStr">
        <is>
          <t>返送汚泥ポンプ</t>
        </is>
      </c>
      <c r="B169" s="808" t="inlineStr">
        <is>
          <t>1-1</t>
        </is>
      </c>
      <c r="C169" s="809" t="inlineStr">
        <is>
          <t>電流値</t>
        </is>
      </c>
      <c r="D169" s="810" t="inlineStr">
        <is>
          <t>Ａ</t>
        </is>
      </c>
      <c r="E169" s="846" t="n"/>
      <c r="F169" s="779" t="n"/>
      <c r="G169" s="846" t="n"/>
      <c r="H169" s="779" t="n"/>
      <c r="I169" s="846" t="n"/>
      <c r="J169" s="779" t="n"/>
      <c r="K169" s="846" t="n"/>
      <c r="L169" s="779" t="n"/>
      <c r="M169" s="846" t="n"/>
      <c r="N169" s="779" t="n"/>
    </row>
    <row r="170" ht="13.5" customHeight="1" s="614">
      <c r="A170" s="780" t="n"/>
      <c r="B170" s="780" t="n"/>
      <c r="C170" s="781" t="inlineStr">
        <is>
          <t>吐出圧力</t>
        </is>
      </c>
      <c r="D170" s="782" t="inlineStr">
        <is>
          <t>Mpa</t>
        </is>
      </c>
      <c r="E170" s="815" t="n"/>
      <c r="F170" s="784" t="n"/>
      <c r="G170" s="815" t="n"/>
      <c r="H170" s="784" t="n"/>
      <c r="I170" s="815" t="n"/>
      <c r="J170" s="784" t="n"/>
      <c r="K170" s="815" t="n"/>
      <c r="L170" s="784" t="n"/>
      <c r="M170" s="815" t="n"/>
      <c r="N170" s="784" t="n"/>
    </row>
    <row r="171" ht="13.5" customHeight="1" s="614">
      <c r="A171" s="780" t="n"/>
      <c r="B171" s="769" t="n"/>
      <c r="C171" s="785" t="inlineStr">
        <is>
          <t>異音、振動</t>
        </is>
      </c>
      <c r="D171" s="786" t="n"/>
      <c r="E171" s="817" t="n"/>
      <c r="F171" s="788" t="n"/>
      <c r="G171" s="817" t="n"/>
      <c r="H171" s="788" t="n"/>
      <c r="I171" s="817" t="n"/>
      <c r="J171" s="788" t="n"/>
      <c r="K171" s="817" t="n"/>
      <c r="L171" s="788" t="n"/>
      <c r="M171" s="817" t="n"/>
      <c r="N171" s="788" t="n"/>
    </row>
    <row r="172" ht="13.5" customHeight="1" s="614">
      <c r="A172" s="780" t="n"/>
      <c r="B172" s="800" t="inlineStr">
        <is>
          <t>1-2</t>
        </is>
      </c>
      <c r="C172" s="776" t="inlineStr">
        <is>
          <t>電流値</t>
        </is>
      </c>
      <c r="D172" s="777" t="inlineStr">
        <is>
          <t>Ａ</t>
        </is>
      </c>
      <c r="E172" s="833" t="n"/>
      <c r="F172" s="824" t="n"/>
      <c r="G172" s="833" t="n"/>
      <c r="H172" s="824" t="n"/>
      <c r="I172" s="833" t="n"/>
      <c r="J172" s="824" t="n"/>
      <c r="K172" s="833" t="n"/>
      <c r="L172" s="824" t="n"/>
      <c r="M172" s="833" t="n"/>
      <c r="N172" s="824" t="n"/>
    </row>
    <row r="173" ht="13.5" customHeight="1" s="614">
      <c r="A173" s="780" t="n"/>
      <c r="B173" s="780" t="n"/>
      <c r="C173" s="781">
        <f>C170</f>
        <v/>
      </c>
      <c r="D173" s="782" t="inlineStr">
        <is>
          <t>Mpa</t>
        </is>
      </c>
      <c r="E173" s="783" t="n"/>
      <c r="F173" s="784" t="n"/>
      <c r="G173" s="783" t="n"/>
      <c r="H173" s="784" t="n"/>
      <c r="I173" s="783" t="n"/>
      <c r="J173" s="784" t="n"/>
      <c r="K173" s="783" t="n"/>
      <c r="L173" s="784" t="n"/>
      <c r="M173" s="783" t="n"/>
      <c r="N173" s="784" t="n"/>
    </row>
    <row r="174" ht="13.5" customHeight="1" s="614">
      <c r="A174" s="780" t="n"/>
      <c r="B174" s="769" t="n"/>
      <c r="C174" s="785" t="inlineStr">
        <is>
          <t>異音、振動</t>
        </is>
      </c>
      <c r="D174" s="786" t="n"/>
      <c r="E174" s="787" t="n"/>
      <c r="F174" s="788" t="n"/>
      <c r="G174" s="787" t="n"/>
      <c r="H174" s="788" t="n"/>
      <c r="I174" s="787" t="n"/>
      <c r="J174" s="788" t="n"/>
      <c r="K174" s="787" t="n"/>
      <c r="L174" s="788" t="n"/>
      <c r="M174" s="787" t="n"/>
      <c r="N174" s="788" t="n"/>
    </row>
    <row r="175" ht="13.5" customHeight="1" s="614">
      <c r="A175" s="780" t="n"/>
      <c r="B175" s="800" t="inlineStr">
        <is>
          <t>―</t>
        </is>
      </c>
      <c r="C175" s="776" t="inlineStr">
        <is>
          <t>モード確認</t>
        </is>
      </c>
      <c r="D175" s="777" t="n"/>
      <c r="E175" s="789" t="n"/>
      <c r="F175" s="779" t="n"/>
      <c r="G175" s="789" t="n"/>
      <c r="H175" s="779" t="n"/>
      <c r="I175" s="789" t="n"/>
      <c r="J175" s="779" t="n"/>
      <c r="K175" s="789" t="n"/>
      <c r="L175" s="779" t="n"/>
      <c r="M175" s="789" t="n"/>
      <c r="N175" s="779" t="n"/>
    </row>
    <row r="176" ht="13.5" customHeight="1" s="614">
      <c r="A176" s="780" t="n"/>
      <c r="B176" s="769" t="n"/>
      <c r="C176" s="791" t="inlineStr">
        <is>
          <t>常用機選択</t>
        </is>
      </c>
      <c r="D176" s="792" t="n"/>
      <c r="E176" s="793" t="n"/>
      <c r="F176" s="788" t="n"/>
      <c r="G176" s="793" t="n"/>
      <c r="H176" s="788" t="n"/>
      <c r="I176" s="793" t="n"/>
      <c r="J176" s="788" t="n"/>
      <c r="K176" s="793" t="n"/>
      <c r="L176" s="788" t="n"/>
      <c r="M176" s="793" t="n"/>
      <c r="N176" s="788" t="n"/>
      <c r="P176" s="814" t="n"/>
      <c r="Q176" s="814" t="n"/>
      <c r="R176" s="712" t="n"/>
      <c r="S176" s="712" t="n"/>
    </row>
    <row r="177" ht="13.5" customHeight="1" s="614">
      <c r="A177" s="799" t="inlineStr">
        <is>
          <t>余剰汚泥ポンプ</t>
        </is>
      </c>
      <c r="B177" s="768" t="n">
        <v>1</v>
      </c>
      <c r="C177" s="776" t="inlineStr">
        <is>
          <t>電流値</t>
        </is>
      </c>
      <c r="D177" s="777" t="inlineStr">
        <is>
          <t>Ａ</t>
        </is>
      </c>
      <c r="E177" s="846" t="n"/>
      <c r="F177" s="779" t="n"/>
      <c r="G177" s="846" t="n"/>
      <c r="H177" s="779" t="n"/>
      <c r="I177" s="846" t="n"/>
      <c r="J177" s="779" t="n"/>
      <c r="K177" s="846" t="n"/>
      <c r="L177" s="779" t="n"/>
      <c r="M177" s="846" t="n"/>
      <c r="N177" s="779" t="n"/>
    </row>
    <row r="178" ht="13.5" customHeight="1" s="614">
      <c r="A178" s="780" t="n"/>
      <c r="B178" s="780" t="n"/>
      <c r="C178" s="781">
        <f>C173</f>
        <v/>
      </c>
      <c r="D178" s="782" t="inlineStr">
        <is>
          <t>Mpa</t>
        </is>
      </c>
      <c r="E178" s="815" t="n"/>
      <c r="F178" s="784" t="n"/>
      <c r="G178" s="815" t="n"/>
      <c r="H178" s="784" t="n"/>
      <c r="I178" s="815" t="n"/>
      <c r="J178" s="784" t="n"/>
      <c r="K178" s="815" t="n"/>
      <c r="L178" s="784" t="n"/>
      <c r="M178" s="815" t="n"/>
      <c r="N178" s="784" t="n"/>
    </row>
    <row r="179" ht="13.5" customHeight="1" s="614">
      <c r="A179" s="780" t="n"/>
      <c r="B179" s="780" t="n"/>
      <c r="C179" s="809" t="inlineStr">
        <is>
          <t>異音、振動</t>
        </is>
      </c>
      <c r="D179" s="810" t="n"/>
      <c r="E179" s="816" t="n"/>
      <c r="F179" s="784" t="n"/>
      <c r="G179" s="816" t="n"/>
      <c r="H179" s="784" t="n"/>
      <c r="I179" s="816" t="n"/>
      <c r="J179" s="784" t="n"/>
      <c r="K179" s="816" t="n"/>
      <c r="L179" s="784" t="n"/>
      <c r="M179" s="816" t="n"/>
      <c r="N179" s="784" t="n"/>
    </row>
    <row r="180" ht="13.5" customHeight="1" s="614">
      <c r="A180" s="780" t="n"/>
      <c r="B180" s="780" t="n"/>
      <c r="C180" s="781" t="inlineStr">
        <is>
          <t>液漏れ</t>
        </is>
      </c>
      <c r="D180" s="782" t="n"/>
      <c r="E180" s="816" t="n"/>
      <c r="F180" s="784" t="n"/>
      <c r="G180" s="816" t="n"/>
      <c r="H180" s="784" t="n"/>
      <c r="I180" s="816" t="n"/>
      <c r="J180" s="784" t="n"/>
      <c r="K180" s="816" t="n"/>
      <c r="L180" s="784" t="n"/>
      <c r="M180" s="816" t="n"/>
      <c r="N180" s="784" t="n"/>
    </row>
    <row r="181" ht="13.5" customHeight="1" s="614">
      <c r="A181" s="780" t="n"/>
      <c r="B181" s="769" t="n"/>
      <c r="C181" s="785" t="inlineStr">
        <is>
          <t>モード確認</t>
        </is>
      </c>
      <c r="D181" s="786" t="n"/>
      <c r="E181" s="816" t="n"/>
      <c r="F181" s="784" t="n"/>
      <c r="G181" s="816" t="n"/>
      <c r="H181" s="784" t="n"/>
      <c r="I181" s="816" t="n"/>
      <c r="J181" s="784" t="n"/>
      <c r="K181" s="816" t="n"/>
      <c r="L181" s="784" t="n"/>
      <c r="M181" s="816" t="n"/>
      <c r="N181" s="784" t="n"/>
    </row>
    <row r="182" ht="13.5" customHeight="1" s="614">
      <c r="A182" s="818" t="inlineStr">
        <is>
          <t>床排水ポンプ</t>
        </is>
      </c>
      <c r="B182" s="768" t="n">
        <v>1</v>
      </c>
      <c r="C182" s="776" t="inlineStr">
        <is>
          <t>電流値</t>
        </is>
      </c>
      <c r="D182" s="777" t="inlineStr">
        <is>
          <t>Ａ</t>
        </is>
      </c>
      <c r="E182" s="778" t="n"/>
      <c r="F182" s="779" t="n"/>
      <c r="G182" s="778" t="n"/>
      <c r="H182" s="779" t="n"/>
      <c r="I182" s="778" t="n"/>
      <c r="J182" s="779" t="n"/>
      <c r="K182" s="778" t="n"/>
      <c r="L182" s="779" t="n"/>
      <c r="M182" s="778" t="n"/>
      <c r="N182" s="779" t="n"/>
    </row>
    <row r="183" ht="13.5" customHeight="1" s="614">
      <c r="A183" s="780" t="n"/>
      <c r="B183" s="780" t="n"/>
      <c r="C183" s="781" t="inlineStr">
        <is>
          <t>吐出圧力</t>
        </is>
      </c>
      <c r="D183" s="782" t="inlineStr">
        <is>
          <t>Mpa</t>
        </is>
      </c>
      <c r="E183" s="783" t="n"/>
      <c r="F183" s="784" t="n"/>
      <c r="G183" s="783" t="n"/>
      <c r="H183" s="784" t="n"/>
      <c r="I183" s="783" t="n"/>
      <c r="J183" s="784" t="n"/>
      <c r="K183" s="783" t="n"/>
      <c r="L183" s="784" t="n"/>
      <c r="M183" s="783" t="n"/>
      <c r="N183" s="784" t="n"/>
    </row>
    <row r="184" ht="13.5" customHeight="1" s="614">
      <c r="A184" s="780" t="n"/>
      <c r="B184" s="769" t="n"/>
      <c r="C184" s="785" t="inlineStr">
        <is>
          <t>異音、振動</t>
        </is>
      </c>
      <c r="D184" s="819" t="n"/>
      <c r="E184" s="793" t="n"/>
      <c r="F184" s="788" t="n"/>
      <c r="G184" s="793" t="n"/>
      <c r="H184" s="788" t="n"/>
      <c r="I184" s="793" t="n"/>
      <c r="J184" s="788" t="n"/>
      <c r="K184" s="793" t="n"/>
      <c r="L184" s="788" t="n"/>
      <c r="M184" s="793" t="n"/>
      <c r="N184" s="788" t="n"/>
    </row>
    <row r="185" ht="13.5" customHeight="1" s="614">
      <c r="A185" s="780" t="n"/>
      <c r="B185" s="768" t="n">
        <v>2</v>
      </c>
      <c r="C185" s="776" t="inlineStr">
        <is>
          <t>電流値</t>
        </is>
      </c>
      <c r="D185" s="777" t="inlineStr">
        <is>
          <t>Ａ</t>
        </is>
      </c>
      <c r="E185" s="833" t="n"/>
      <c r="F185" s="824" t="n"/>
      <c r="G185" s="833" t="n"/>
      <c r="H185" s="824" t="n"/>
      <c r="I185" s="833" t="n"/>
      <c r="J185" s="824" t="n"/>
      <c r="K185" s="833" t="n"/>
      <c r="L185" s="824" t="n"/>
      <c r="M185" s="833" t="n"/>
      <c r="N185" s="824" t="n"/>
    </row>
    <row r="186" ht="13.5" customHeight="1" s="614">
      <c r="A186" s="780" t="n"/>
      <c r="B186" s="780" t="n"/>
      <c r="C186" s="781" t="inlineStr">
        <is>
          <t>吐出圧力</t>
        </is>
      </c>
      <c r="D186" s="782" t="inlineStr">
        <is>
          <t>Mpa</t>
        </is>
      </c>
      <c r="E186" s="783" t="n"/>
      <c r="F186" s="784" t="n"/>
      <c r="G186" s="783" t="n"/>
      <c r="H186" s="784" t="n"/>
      <c r="I186" s="783" t="n"/>
      <c r="J186" s="784" t="n"/>
      <c r="K186" s="783" t="n"/>
      <c r="L186" s="784" t="n"/>
      <c r="M186" s="783" t="n"/>
      <c r="N186" s="784" t="n"/>
    </row>
    <row r="187" ht="13.5" customHeight="1" s="614">
      <c r="A187" s="780" t="n"/>
      <c r="B187" s="769" t="n"/>
      <c r="C187" s="785" t="inlineStr">
        <is>
          <t>異音、振動</t>
        </is>
      </c>
      <c r="D187" s="819" t="n"/>
      <c r="E187" s="793" t="n"/>
      <c r="F187" s="788" t="n"/>
      <c r="G187" s="793" t="n"/>
      <c r="H187" s="788" t="n"/>
      <c r="I187" s="793" t="n"/>
      <c r="J187" s="788" t="n"/>
      <c r="K187" s="793" t="n"/>
      <c r="L187" s="788" t="n"/>
      <c r="M187" s="793" t="n"/>
      <c r="N187" s="788" t="n"/>
    </row>
    <row r="188" ht="13.5" customHeight="1" s="614">
      <c r="A188" s="780" t="n"/>
      <c r="B188" s="800" t="inlineStr">
        <is>
          <t>―</t>
        </is>
      </c>
      <c r="C188" s="776" t="inlineStr">
        <is>
          <t>モード確認</t>
        </is>
      </c>
      <c r="D188" s="777" t="n"/>
      <c r="E188" s="789" t="n"/>
      <c r="F188" s="779" t="n"/>
      <c r="G188" s="789" t="n"/>
      <c r="H188" s="779" t="n"/>
      <c r="I188" s="789" t="n"/>
      <c r="J188" s="779" t="n"/>
      <c r="K188" s="789" t="n"/>
      <c r="L188" s="779" t="n"/>
      <c r="M188" s="789" t="n"/>
      <c r="N188" s="779" t="n"/>
    </row>
    <row r="189" ht="13.5" customHeight="1" s="614">
      <c r="A189" s="769" t="n"/>
      <c r="B189" s="769" t="n"/>
      <c r="C189" s="791" t="inlineStr">
        <is>
          <t>常用機選択</t>
        </is>
      </c>
      <c r="D189" s="792" t="n"/>
      <c r="E189" s="793" t="n"/>
      <c r="F189" s="788" t="n"/>
      <c r="G189" s="793" t="n"/>
      <c r="H189" s="788" t="n"/>
      <c r="I189" s="793" t="n"/>
      <c r="J189" s="788" t="n"/>
      <c r="K189" s="793" t="n"/>
      <c r="L189" s="788" t="n"/>
      <c r="M189" s="793" t="n"/>
      <c r="N189" s="788" t="n"/>
      <c r="P189" s="814" t="n"/>
      <c r="Q189" s="814" t="n"/>
      <c r="R189" s="712" t="n"/>
      <c r="S189" s="712" t="n"/>
    </row>
    <row r="190" ht="13.5" customHeight="1" s="614">
      <c r="A190" s="772" t="inlineStr">
        <is>
          <t>返流水ポンプ</t>
        </is>
      </c>
      <c r="B190" s="800" t="inlineStr">
        <is>
          <t>1</t>
        </is>
      </c>
      <c r="C190" s="776" t="inlineStr">
        <is>
          <t>電流値</t>
        </is>
      </c>
      <c r="D190" s="777" t="inlineStr">
        <is>
          <t>Ａ</t>
        </is>
      </c>
      <c r="E190" s="778" t="n"/>
      <c r="F190" s="779" t="n"/>
      <c r="G190" s="778" t="n"/>
      <c r="H190" s="779" t="n"/>
      <c r="I190" s="778" t="n"/>
      <c r="J190" s="779" t="n"/>
      <c r="K190" s="778" t="n"/>
      <c r="L190" s="779" t="n"/>
      <c r="M190" s="778" t="n"/>
      <c r="N190" s="779" t="n"/>
    </row>
    <row r="191" ht="13.5" customHeight="1" s="614">
      <c r="A191" s="780" t="n"/>
      <c r="B191" s="780" t="n"/>
      <c r="C191" s="781" t="inlineStr">
        <is>
          <t>吐出圧力</t>
        </is>
      </c>
      <c r="D191" s="782" t="inlineStr">
        <is>
          <t>Mpa</t>
        </is>
      </c>
      <c r="E191" s="783" t="n"/>
      <c r="F191" s="784" t="n"/>
      <c r="G191" s="783" t="n"/>
      <c r="H191" s="784" t="n"/>
      <c r="I191" s="783" t="n"/>
      <c r="J191" s="784" t="n"/>
      <c r="K191" s="783" t="n"/>
      <c r="L191" s="784" t="n"/>
      <c r="M191" s="783" t="n"/>
      <c r="N191" s="784" t="n"/>
    </row>
    <row r="192" ht="13.5" customHeight="1" s="614">
      <c r="A192" s="780" t="n"/>
      <c r="B192" s="769" t="n"/>
      <c r="C192" s="785" t="inlineStr">
        <is>
          <t>異音、振動</t>
        </is>
      </c>
      <c r="D192" s="786" t="n"/>
      <c r="E192" s="787" t="n"/>
      <c r="F192" s="788" t="n"/>
      <c r="G192" s="787" t="n"/>
      <c r="H192" s="788" t="n"/>
      <c r="I192" s="787" t="n"/>
      <c r="J192" s="788" t="n"/>
      <c r="K192" s="787" t="n"/>
      <c r="L192" s="788" t="n"/>
      <c r="M192" s="787" t="n"/>
      <c r="N192" s="788" t="n"/>
    </row>
    <row r="193" ht="13.5" customHeight="1" s="614">
      <c r="A193" s="780" t="n"/>
      <c r="B193" s="800" t="inlineStr">
        <is>
          <t>2</t>
        </is>
      </c>
      <c r="C193" s="776" t="inlineStr">
        <is>
          <t>電流値</t>
        </is>
      </c>
      <c r="D193" s="777" t="inlineStr">
        <is>
          <t>Ａ</t>
        </is>
      </c>
      <c r="E193" s="833" t="n"/>
      <c r="F193" s="824" t="n"/>
      <c r="G193" s="833" t="n"/>
      <c r="H193" s="824" t="n"/>
      <c r="I193" s="833" t="n"/>
      <c r="J193" s="824" t="n"/>
      <c r="K193" s="833" t="n"/>
      <c r="L193" s="824" t="n"/>
      <c r="M193" s="833" t="n"/>
      <c r="N193" s="824" t="n"/>
    </row>
    <row r="194" ht="13.5" customHeight="1" s="614">
      <c r="A194" s="780" t="n"/>
      <c r="B194" s="780" t="n"/>
      <c r="C194" s="781">
        <f>C191</f>
        <v/>
      </c>
      <c r="D194" s="782" t="inlineStr">
        <is>
          <t>Mpa</t>
        </is>
      </c>
      <c r="E194" s="783" t="n"/>
      <c r="F194" s="784" t="n"/>
      <c r="G194" s="783" t="n"/>
      <c r="H194" s="784" t="n"/>
      <c r="I194" s="783" t="n"/>
      <c r="J194" s="784" t="n"/>
      <c r="K194" s="783" t="n"/>
      <c r="L194" s="784" t="n"/>
      <c r="M194" s="783" t="n"/>
      <c r="N194" s="784" t="n"/>
    </row>
    <row r="195" ht="13.5" customHeight="1" s="614">
      <c r="A195" s="780" t="n"/>
      <c r="B195" s="769" t="n"/>
      <c r="C195" s="785" t="inlineStr">
        <is>
          <t>異音、振動</t>
        </is>
      </c>
      <c r="D195" s="786" t="n"/>
      <c r="E195" s="787" t="n"/>
      <c r="F195" s="788" t="n"/>
      <c r="G195" s="787" t="n"/>
      <c r="H195" s="788" t="n"/>
      <c r="I195" s="787" t="n"/>
      <c r="J195" s="788" t="n"/>
      <c r="K195" s="787" t="n"/>
      <c r="L195" s="788" t="n"/>
      <c r="M195" s="787" t="n"/>
      <c r="N195" s="788" t="n"/>
    </row>
    <row r="196" ht="13.5" customHeight="1" s="614">
      <c r="A196" s="780" t="n"/>
      <c r="B196" s="800" t="inlineStr">
        <is>
          <t>―</t>
        </is>
      </c>
      <c r="C196" s="776" t="inlineStr">
        <is>
          <t>モード確認</t>
        </is>
      </c>
      <c r="D196" s="777" t="n"/>
      <c r="E196" s="823" t="n"/>
      <c r="F196" s="824" t="n"/>
      <c r="G196" s="823" t="n"/>
      <c r="H196" s="824" t="n"/>
      <c r="I196" s="823" t="n"/>
      <c r="J196" s="824" t="n"/>
      <c r="K196" s="823" t="n"/>
      <c r="L196" s="824" t="n"/>
      <c r="M196" s="823" t="n"/>
      <c r="N196" s="824" t="n"/>
    </row>
    <row r="197" ht="13.5" customHeight="1" s="614">
      <c r="A197" s="769" t="n"/>
      <c r="B197" s="769" t="n"/>
      <c r="C197" s="791" t="inlineStr">
        <is>
          <t>常用機選択</t>
        </is>
      </c>
      <c r="D197" s="792" t="n"/>
      <c r="E197" s="793" t="n"/>
      <c r="F197" s="788" t="n"/>
      <c r="G197" s="793" t="n"/>
      <c r="H197" s="788" t="n"/>
      <c r="I197" s="793" t="n"/>
      <c r="J197" s="788" t="n"/>
      <c r="K197" s="793" t="n"/>
      <c r="L197" s="788" t="n"/>
      <c r="M197" s="793" t="n"/>
      <c r="N197" s="788" t="n"/>
    </row>
    <row r="198" ht="13.5" customHeight="1" s="614">
      <c r="A198" s="820" t="inlineStr">
        <is>
          <t xml:space="preserve">　○：良　　△：要注意　　×：要修理</t>
        </is>
      </c>
    </row>
    <row r="199" ht="21" customHeight="1" s="614">
      <c r="A199" s="764" t="inlineStr">
        <is>
          <t>機械設備日常点検表（２/２）</t>
        </is>
      </c>
      <c r="B199" s="674" t="n"/>
      <c r="C199" s="765" t="n"/>
      <c r="D199" s="674" t="n"/>
      <c r="E199" s="674" t="n"/>
      <c r="F199" s="674" t="n"/>
      <c r="G199" s="674" t="n"/>
      <c r="H199" s="674" t="n"/>
      <c r="I199" s="674" t="n"/>
      <c r="J199" s="674" t="n"/>
      <c r="K199" s="765">
        <f>K1</f>
        <v/>
      </c>
      <c r="L199" s="765" t="n"/>
      <c r="M199" s="765" t="n"/>
      <c r="N199" s="674" t="n"/>
    </row>
    <row r="200" ht="13.5" customHeight="1" s="614">
      <c r="A200" s="821" t="inlineStr">
        <is>
          <t>機　器　名</t>
        </is>
      </c>
      <c r="B200" s="768" t="inlineStr">
        <is>
          <t>No</t>
        </is>
      </c>
      <c r="C200" s="767" t="inlineStr">
        <is>
          <t>点 検 者</t>
        </is>
      </c>
      <c r="D200" s="627" t="n"/>
      <c r="E200" s="842" t="n"/>
      <c r="F200" s="626" t="n"/>
      <c r="G200" s="842" t="n"/>
      <c r="H200" s="626" t="n"/>
      <c r="I200" s="842" t="n"/>
      <c r="J200" s="626" t="n"/>
      <c r="K200" s="843" t="n"/>
      <c r="L200" s="626" t="n"/>
      <c r="M200" s="767" t="n"/>
      <c r="N200" s="627" t="n"/>
    </row>
    <row r="201" ht="13.5" customHeight="1" s="614">
      <c r="A201" s="769" t="n"/>
      <c r="B201" s="769" t="n"/>
      <c r="C201" s="770" t="inlineStr">
        <is>
          <t>点検内容</t>
        </is>
      </c>
      <c r="D201" s="627" t="n"/>
      <c r="E201" s="771" t="n"/>
      <c r="F201" s="627" t="n"/>
      <c r="G201" s="771" t="n"/>
      <c r="H201" s="627" t="n"/>
      <c r="I201" s="771" t="n"/>
      <c r="J201" s="627" t="n"/>
      <c r="K201" s="771" t="n"/>
      <c r="L201" s="627" t="n"/>
      <c r="M201" s="771" t="n"/>
      <c r="N201" s="627" t="n"/>
    </row>
    <row r="202" ht="13.5" customHeight="1" s="614">
      <c r="A202" s="822" t="inlineStr">
        <is>
          <t>濃縮汚泥引抜ポンプ</t>
        </is>
      </c>
      <c r="B202" s="768" t="n">
        <v>1</v>
      </c>
      <c r="C202" s="809" t="inlineStr">
        <is>
          <t>電流値</t>
        </is>
      </c>
      <c r="D202" s="810" t="inlineStr">
        <is>
          <t>Ａ</t>
        </is>
      </c>
      <c r="E202" s="778" t="n"/>
      <c r="F202" s="779" t="n"/>
      <c r="G202" s="778" t="n"/>
      <c r="H202" s="779" t="n"/>
      <c r="I202" s="778" t="n"/>
      <c r="J202" s="779" t="n"/>
      <c r="K202" s="778" t="n"/>
      <c r="L202" s="779" t="n"/>
      <c r="M202" s="778" t="n"/>
      <c r="N202" s="779" t="n"/>
    </row>
    <row r="203" ht="13.5" customHeight="1" s="614">
      <c r="A203" s="780" t="n"/>
      <c r="B203" s="780" t="n"/>
      <c r="C203" s="781" t="inlineStr">
        <is>
          <t>吐出圧力</t>
        </is>
      </c>
      <c r="D203" s="782" t="inlineStr">
        <is>
          <t>Mpa</t>
        </is>
      </c>
      <c r="E203" s="783" t="n"/>
      <c r="F203" s="784" t="n"/>
      <c r="G203" s="783" t="n"/>
      <c r="H203" s="784" t="n"/>
      <c r="I203" s="783" t="n"/>
      <c r="J203" s="784" t="n"/>
      <c r="K203" s="783" t="n"/>
      <c r="L203" s="784" t="n"/>
      <c r="M203" s="783" t="n"/>
      <c r="N203" s="784" t="n"/>
    </row>
    <row r="204" ht="13.5" customHeight="1" s="614">
      <c r="A204" s="780" t="n"/>
      <c r="B204" s="769" t="n"/>
      <c r="C204" s="785" t="inlineStr">
        <is>
          <t>異音、振動</t>
        </is>
      </c>
      <c r="D204" s="786" t="n"/>
      <c r="E204" s="793" t="n"/>
      <c r="F204" s="788" t="n"/>
      <c r="G204" s="793" t="n"/>
      <c r="H204" s="788" t="n"/>
      <c r="I204" s="793" t="n"/>
      <c r="J204" s="788" t="n"/>
      <c r="K204" s="793" t="n"/>
      <c r="L204" s="788" t="n"/>
      <c r="M204" s="793" t="n"/>
      <c r="N204" s="788" t="n"/>
    </row>
    <row r="205" ht="13.5" customHeight="1" s="614">
      <c r="A205" s="780" t="n"/>
      <c r="B205" s="768" t="n">
        <v>2</v>
      </c>
      <c r="C205" s="776" t="inlineStr">
        <is>
          <t>電流値</t>
        </is>
      </c>
      <c r="D205" s="777" t="inlineStr">
        <is>
          <t>Ａ</t>
        </is>
      </c>
      <c r="E205" s="778" t="n"/>
      <c r="F205" s="779" t="n"/>
      <c r="G205" s="778" t="n"/>
      <c r="H205" s="779" t="n"/>
      <c r="I205" s="778" t="n"/>
      <c r="J205" s="779" t="n"/>
      <c r="K205" s="778" t="n"/>
      <c r="L205" s="779" t="n"/>
      <c r="M205" s="778" t="n"/>
      <c r="N205" s="779" t="n"/>
    </row>
    <row r="206" ht="13.5" customHeight="1" s="614">
      <c r="A206" s="780" t="n"/>
      <c r="B206" s="780" t="n"/>
      <c r="C206" s="781" t="inlineStr">
        <is>
          <t>吐出圧力</t>
        </is>
      </c>
      <c r="D206" s="782" t="inlineStr">
        <is>
          <t>Mpa</t>
        </is>
      </c>
      <c r="E206" s="783" t="n"/>
      <c r="F206" s="784" t="n"/>
      <c r="G206" s="783" t="n"/>
      <c r="H206" s="784" t="n"/>
      <c r="I206" s="783" t="n"/>
      <c r="J206" s="784" t="n"/>
      <c r="K206" s="783" t="n"/>
      <c r="L206" s="784" t="n"/>
      <c r="M206" s="783" t="n"/>
      <c r="N206" s="784" t="n"/>
    </row>
    <row r="207" ht="13.5" customHeight="1" s="614">
      <c r="A207" s="780" t="n"/>
      <c r="B207" s="769" t="n"/>
      <c r="C207" s="785" t="inlineStr">
        <is>
          <t>異音、振動</t>
        </is>
      </c>
      <c r="D207" s="786" t="n"/>
      <c r="E207" s="793" t="n"/>
      <c r="F207" s="788" t="n"/>
      <c r="G207" s="793" t="n"/>
      <c r="H207" s="788" t="n"/>
      <c r="I207" s="793" t="n"/>
      <c r="J207" s="788" t="n"/>
      <c r="K207" s="793" t="n"/>
      <c r="L207" s="788" t="n"/>
      <c r="M207" s="793" t="n"/>
      <c r="N207" s="788" t="n"/>
    </row>
    <row r="208" ht="13.5" customHeight="1" s="614">
      <c r="A208" s="780" t="n"/>
      <c r="B208" s="768" t="inlineStr">
        <is>
          <t>―</t>
        </is>
      </c>
      <c r="C208" s="776" t="inlineStr">
        <is>
          <t>モード確認</t>
        </is>
      </c>
      <c r="D208" s="777" t="n"/>
      <c r="E208" s="789" t="n"/>
      <c r="F208" s="779" t="n"/>
      <c r="G208" s="789" t="n"/>
      <c r="H208" s="779" t="n"/>
      <c r="I208" s="789" t="n"/>
      <c r="J208" s="779" t="n"/>
      <c r="K208" s="789" t="n"/>
      <c r="L208" s="779" t="n"/>
      <c r="M208" s="789" t="n"/>
      <c r="N208" s="779" t="n"/>
    </row>
    <row r="209" ht="13.5" customHeight="1" s="614">
      <c r="A209" s="769" t="n"/>
      <c r="B209" s="769" t="n"/>
      <c r="C209" s="791" t="inlineStr">
        <is>
          <t>常用機選択</t>
        </is>
      </c>
      <c r="D209" s="792" t="n"/>
      <c r="E209" s="793" t="n"/>
      <c r="F209" s="788" t="n"/>
      <c r="G209" s="793" t="n"/>
      <c r="H209" s="788" t="n"/>
      <c r="I209" s="793" t="n"/>
      <c r="J209" s="788" t="n"/>
      <c r="K209" s="793" t="n"/>
      <c r="L209" s="788" t="n"/>
      <c r="M209" s="793" t="n"/>
      <c r="N209" s="788" t="n"/>
    </row>
    <row r="210" ht="13.5" customHeight="1" s="614">
      <c r="A210" s="772" t="inlineStr">
        <is>
          <t>濃縮汚泥掻寄機</t>
        </is>
      </c>
      <c r="B210" s="768" t="inlineStr">
        <is>
          <t>―</t>
        </is>
      </c>
      <c r="C210" s="825" t="inlineStr">
        <is>
          <t>電流値</t>
        </is>
      </c>
      <c r="D210" s="777" t="inlineStr">
        <is>
          <t>Ａ</t>
        </is>
      </c>
      <c r="E210" s="826" t="n"/>
      <c r="F210" s="824" t="n"/>
      <c r="G210" s="826" t="n"/>
      <c r="H210" s="824" t="n"/>
      <c r="I210" s="826" t="n"/>
      <c r="J210" s="824" t="n"/>
      <c r="K210" s="826" t="n"/>
      <c r="L210" s="824" t="n"/>
      <c r="M210" s="826" t="n"/>
      <c r="N210" s="824" t="n"/>
    </row>
    <row r="211" ht="13.5" customHeight="1" s="614">
      <c r="A211" s="780" t="n"/>
      <c r="B211" s="780" t="n"/>
      <c r="C211" s="781" t="inlineStr">
        <is>
          <t>異音、振動</t>
        </is>
      </c>
      <c r="D211" s="782" t="n"/>
      <c r="E211" s="783" t="n"/>
      <c r="F211" s="784" t="n"/>
      <c r="G211" s="783" t="n"/>
      <c r="H211" s="784" t="n"/>
      <c r="I211" s="783" t="n"/>
      <c r="J211" s="784" t="n"/>
      <c r="K211" s="783" t="n"/>
      <c r="L211" s="784" t="n"/>
      <c r="M211" s="783" t="n"/>
      <c r="N211" s="784" t="n"/>
    </row>
    <row r="212" ht="13.5" customHeight="1" s="614">
      <c r="A212" s="769" t="n"/>
      <c r="B212" s="769" t="n"/>
      <c r="C212" s="785" t="inlineStr">
        <is>
          <t>モード確認</t>
        </is>
      </c>
      <c r="D212" s="786" t="n"/>
      <c r="E212" s="793" t="n"/>
      <c r="F212" s="788" t="n"/>
      <c r="G212" s="793" t="n"/>
      <c r="H212" s="788" t="n"/>
      <c r="I212" s="793" t="n"/>
      <c r="J212" s="788" t="n"/>
      <c r="K212" s="793" t="n"/>
      <c r="L212" s="788" t="n"/>
      <c r="M212" s="793" t="n"/>
      <c r="N212" s="788" t="n"/>
    </row>
    <row r="213" ht="13.5" customHeight="1" s="614">
      <c r="A213" s="795" t="inlineStr">
        <is>
          <t>スカムスキマー</t>
        </is>
      </c>
      <c r="B213" s="796" t="inlineStr">
        <is>
          <t>―</t>
        </is>
      </c>
      <c r="C213" s="825" t="inlineStr">
        <is>
          <t>動作状況</t>
        </is>
      </c>
      <c r="D213" s="829" t="n"/>
      <c r="E213" s="797" t="n"/>
      <c r="F213" s="779" t="n"/>
      <c r="G213" s="797" t="n"/>
      <c r="H213" s="779" t="n"/>
      <c r="I213" s="797" t="n"/>
      <c r="J213" s="779" t="n"/>
      <c r="K213" s="797" t="n"/>
      <c r="L213" s="779" t="n"/>
      <c r="M213" s="797" t="n"/>
      <c r="N213" s="779" t="n"/>
    </row>
    <row r="214" ht="13.5" customHeight="1" s="614">
      <c r="A214" s="769" t="n"/>
      <c r="B214" s="769" t="n"/>
      <c r="C214" s="785" t="inlineStr">
        <is>
          <t>スカムの状況</t>
        </is>
      </c>
      <c r="D214" s="786" t="n"/>
      <c r="E214" s="828" t="n"/>
      <c r="F214" s="654" t="n"/>
      <c r="G214" s="828" t="n"/>
      <c r="H214" s="654" t="n"/>
      <c r="I214" s="828" t="n"/>
      <c r="J214" s="654" t="n"/>
      <c r="K214" s="828" t="n"/>
      <c r="L214" s="654" t="n"/>
      <c r="M214" s="828" t="n"/>
      <c r="N214" s="654" t="n"/>
    </row>
    <row r="215" ht="13.5" customHeight="1" s="614">
      <c r="A215" s="799" t="inlineStr">
        <is>
          <t>濃縮汚泥攪拌機</t>
        </is>
      </c>
      <c r="B215" s="804" t="inlineStr">
        <is>
          <t>―</t>
        </is>
      </c>
      <c r="C215" s="825" t="inlineStr">
        <is>
          <t>電流値</t>
        </is>
      </c>
      <c r="D215" s="777" t="inlineStr">
        <is>
          <t>Ａ</t>
        </is>
      </c>
      <c r="E215" s="797" t="n"/>
      <c r="F215" s="779" t="n"/>
      <c r="G215" s="797" t="n"/>
      <c r="H215" s="779" t="n"/>
      <c r="I215" s="797" t="n"/>
      <c r="J215" s="779" t="n"/>
      <c r="K215" s="797" t="n"/>
      <c r="L215" s="779" t="n"/>
      <c r="M215" s="797" t="n"/>
      <c r="N215" s="779" t="n"/>
    </row>
    <row r="216" ht="13.5" customHeight="1" s="614">
      <c r="A216" s="780" t="n"/>
      <c r="B216" s="780" t="n"/>
      <c r="C216" s="781" t="inlineStr">
        <is>
          <t>異音、振動</t>
        </is>
      </c>
      <c r="D216" s="782" t="n"/>
      <c r="E216" s="798" t="n"/>
      <c r="F216" s="784" t="n"/>
      <c r="G216" s="798" t="n"/>
      <c r="H216" s="784" t="n"/>
      <c r="I216" s="798" t="n"/>
      <c r="J216" s="784" t="n"/>
      <c r="K216" s="798" t="n"/>
      <c r="L216" s="784" t="n"/>
      <c r="M216" s="798" t="n"/>
      <c r="N216" s="784" t="n"/>
    </row>
    <row r="217" ht="13.5" customHeight="1" s="614">
      <c r="A217" s="780" t="n"/>
      <c r="B217" s="780" t="n"/>
      <c r="C217" s="809" t="inlineStr">
        <is>
          <t>モード確認</t>
        </is>
      </c>
      <c r="D217" s="810" t="n"/>
      <c r="E217" s="793" t="n"/>
      <c r="F217" s="788" t="n"/>
      <c r="G217" s="793" t="n"/>
      <c r="H217" s="788" t="n"/>
      <c r="I217" s="793" t="n"/>
      <c r="J217" s="788" t="n"/>
      <c r="K217" s="793" t="n"/>
      <c r="L217" s="788" t="n"/>
      <c r="M217" s="793" t="n"/>
      <c r="N217" s="788" t="n"/>
    </row>
    <row r="218" ht="13.5" customHeight="1" s="614">
      <c r="A218" s="818" t="inlineStr">
        <is>
          <t>濃縮汚泥曝気ﾌﾞﾛﾜ</t>
        </is>
      </c>
      <c r="B218" s="768" t="inlineStr">
        <is>
          <t>―</t>
        </is>
      </c>
      <c r="C218" s="825" t="inlineStr">
        <is>
          <t>電流値</t>
        </is>
      </c>
      <c r="D218" s="829" t="inlineStr">
        <is>
          <t>Ａ</t>
        </is>
      </c>
      <c r="E218" s="846" t="n"/>
      <c r="F218" s="779" t="n"/>
      <c r="G218" s="846" t="n"/>
      <c r="H218" s="779" t="n"/>
      <c r="I218" s="846" t="n"/>
      <c r="J218" s="779" t="n"/>
      <c r="K218" s="846" t="n"/>
      <c r="L218" s="779" t="n"/>
      <c r="M218" s="846" t="n"/>
      <c r="N218" s="779" t="n"/>
    </row>
    <row r="219" ht="13.5" customHeight="1" s="614">
      <c r="A219" s="780" t="n"/>
      <c r="B219" s="780" t="n"/>
      <c r="C219" s="781" t="inlineStr">
        <is>
          <t>異音、振動</t>
        </is>
      </c>
      <c r="D219" s="782" t="n"/>
      <c r="E219" s="798" t="n"/>
      <c r="F219" s="784" t="n"/>
      <c r="G219" s="798" t="n"/>
      <c r="H219" s="784" t="n"/>
      <c r="I219" s="798" t="n"/>
      <c r="J219" s="784" t="n"/>
      <c r="K219" s="798" t="n"/>
      <c r="L219" s="784" t="n"/>
      <c r="M219" s="798" t="n"/>
      <c r="N219" s="784" t="n"/>
    </row>
    <row r="220" ht="13.5" customHeight="1" s="614">
      <c r="A220" s="769" t="n"/>
      <c r="B220" s="769" t="n"/>
      <c r="C220" s="791" t="inlineStr">
        <is>
          <t>モード確認</t>
        </is>
      </c>
      <c r="D220" s="792" t="n"/>
      <c r="E220" s="793" t="n"/>
      <c r="F220" s="788" t="n"/>
      <c r="G220" s="793" t="n"/>
      <c r="H220" s="788" t="n"/>
      <c r="I220" s="793" t="n"/>
      <c r="J220" s="788" t="n"/>
      <c r="K220" s="793" t="n"/>
      <c r="L220" s="788" t="n"/>
      <c r="M220" s="793" t="n"/>
      <c r="N220" s="788" t="n"/>
    </row>
    <row r="221" ht="13.5" customHeight="1" s="614">
      <c r="A221" s="807" t="inlineStr">
        <is>
          <t>自動給水装置</t>
        </is>
      </c>
      <c r="B221" s="796" t="n">
        <v>1</v>
      </c>
      <c r="C221" s="809" t="inlineStr">
        <is>
          <t>電流値</t>
        </is>
      </c>
      <c r="D221" s="810" t="inlineStr">
        <is>
          <t>Ａ</t>
        </is>
      </c>
      <c r="E221" s="830" t="n"/>
      <c r="F221" s="824" t="n"/>
      <c r="G221" s="830" t="n"/>
      <c r="H221" s="824" t="n"/>
      <c r="I221" s="830" t="n"/>
      <c r="J221" s="824" t="n"/>
      <c r="K221" s="830" t="n"/>
      <c r="L221" s="824" t="n"/>
      <c r="M221" s="830" t="n"/>
      <c r="N221" s="824" t="n"/>
    </row>
    <row r="222" ht="13.5" customHeight="1" s="614">
      <c r="A222" s="780" t="n"/>
      <c r="B222" s="769" t="n"/>
      <c r="C222" s="791" t="inlineStr">
        <is>
          <t>異音、振動等</t>
        </is>
      </c>
      <c r="D222" s="792" t="n"/>
      <c r="E222" s="793" t="n"/>
      <c r="F222" s="788" t="n"/>
      <c r="G222" s="793" t="n"/>
      <c r="H222" s="788" t="n"/>
      <c r="I222" s="793" t="n"/>
      <c r="J222" s="788" t="n"/>
      <c r="K222" s="793" t="n"/>
      <c r="L222" s="788" t="n"/>
      <c r="M222" s="793" t="n"/>
      <c r="N222" s="788" t="n"/>
    </row>
    <row r="223" ht="13.5" customHeight="1" s="614">
      <c r="A223" s="780" t="n"/>
      <c r="B223" s="767" t="n">
        <v>2</v>
      </c>
      <c r="C223" s="776" t="inlineStr">
        <is>
          <t>電流値</t>
        </is>
      </c>
      <c r="D223" s="777" t="inlineStr">
        <is>
          <t>Ａ</t>
        </is>
      </c>
      <c r="E223" s="830" t="n"/>
      <c r="F223" s="824" t="n"/>
      <c r="G223" s="830" t="n"/>
      <c r="H223" s="824" t="n"/>
      <c r="I223" s="830" t="n"/>
      <c r="J223" s="824" t="n"/>
      <c r="K223" s="830" t="n"/>
      <c r="L223" s="824" t="n"/>
      <c r="M223" s="830" t="n"/>
      <c r="N223" s="824" t="n"/>
    </row>
    <row r="224" ht="13.5" customHeight="1" s="614">
      <c r="A224" s="780" t="n"/>
      <c r="B224" s="769" t="n"/>
      <c r="C224" s="791" t="inlineStr">
        <is>
          <t>異音、振動等</t>
        </is>
      </c>
      <c r="D224" s="792" t="n"/>
      <c r="E224" s="793" t="n"/>
      <c r="F224" s="788" t="n"/>
      <c r="G224" s="793" t="n"/>
      <c r="H224" s="788" t="n"/>
      <c r="I224" s="793" t="n"/>
      <c r="J224" s="788" t="n"/>
      <c r="K224" s="793" t="n"/>
      <c r="L224" s="788" t="n"/>
      <c r="M224" s="793" t="n"/>
      <c r="N224" s="788" t="n"/>
    </row>
    <row r="225" ht="13.5" customHeight="1" s="614">
      <c r="A225" s="780" t="n"/>
      <c r="B225" s="804" t="inlineStr">
        <is>
          <t>―</t>
        </is>
      </c>
      <c r="C225" s="776" t="inlineStr">
        <is>
          <t>モード確認</t>
        </is>
      </c>
      <c r="D225" s="777" t="n"/>
      <c r="E225" s="831" t="n"/>
      <c r="F225" s="627" t="n"/>
      <c r="G225" s="831" t="n"/>
      <c r="H225" s="627" t="n"/>
      <c r="I225" s="831" t="n"/>
      <c r="J225" s="627" t="n"/>
      <c r="K225" s="831" t="n"/>
      <c r="L225" s="627" t="n"/>
      <c r="M225" s="831" t="n"/>
      <c r="N225" s="627" t="n"/>
      <c r="P225" s="712" t="n"/>
      <c r="Q225" s="712" t="n"/>
      <c r="R225" s="712" t="n"/>
    </row>
    <row r="226" ht="13.5" customHeight="1" s="614">
      <c r="A226" s="772" t="inlineStr">
        <is>
          <t>混和池ＢＧ</t>
        </is>
      </c>
      <c r="B226" s="768" t="inlineStr">
        <is>
          <t>―</t>
        </is>
      </c>
      <c r="C226" s="832" t="inlineStr">
        <is>
          <t>開閉</t>
        </is>
      </c>
      <c r="D226" s="627" t="n"/>
      <c r="E226" s="831" t="n"/>
      <c r="F226" s="627" t="n"/>
      <c r="G226" s="831" t="n"/>
      <c r="H226" s="627" t="n"/>
      <c r="I226" s="831" t="n"/>
      <c r="J226" s="627" t="n"/>
      <c r="K226" s="831" t="n"/>
      <c r="L226" s="627" t="n"/>
      <c r="M226" s="831" t="n"/>
      <c r="N226" s="627" t="n"/>
      <c r="P226" s="712" t="n"/>
      <c r="Q226" s="712" t="n"/>
    </row>
    <row r="227" ht="13.5" customHeight="1" s="614">
      <c r="A227" s="772" t="inlineStr">
        <is>
          <t>塩素接触装置</t>
        </is>
      </c>
      <c r="B227" s="768" t="inlineStr">
        <is>
          <t>―</t>
        </is>
      </c>
      <c r="C227" s="773" t="inlineStr">
        <is>
          <t>薬剤残量確認</t>
        </is>
      </c>
      <c r="D227" s="805" t="n"/>
      <c r="E227" s="775" t="n"/>
      <c r="F227" s="627" t="n"/>
      <c r="G227" s="775" t="n"/>
      <c r="H227" s="627" t="n"/>
      <c r="I227" s="775" t="n"/>
      <c r="J227" s="627" t="n"/>
      <c r="K227" s="775" t="n"/>
      <c r="L227" s="627" t="n"/>
      <c r="M227" s="775" t="n"/>
      <c r="N227" s="627" t="n"/>
    </row>
    <row r="228" ht="13.5" customHeight="1" s="614">
      <c r="A228" s="772" t="inlineStr">
        <is>
          <t>脱臭ファン</t>
        </is>
      </c>
      <c r="B228" s="768" t="inlineStr">
        <is>
          <t>―</t>
        </is>
      </c>
      <c r="C228" s="776" t="inlineStr">
        <is>
          <t>電流値</t>
        </is>
      </c>
      <c r="D228" s="777" t="inlineStr">
        <is>
          <t>Ａ</t>
        </is>
      </c>
      <c r="E228" s="833" t="n"/>
      <c r="F228" s="824" t="n"/>
      <c r="G228" s="833" t="n"/>
      <c r="H228" s="824" t="n"/>
      <c r="I228" s="833" t="n"/>
      <c r="J228" s="824" t="n"/>
      <c r="K228" s="833" t="n"/>
      <c r="L228" s="824" t="n"/>
      <c r="M228" s="833" t="n"/>
      <c r="N228" s="824" t="n"/>
    </row>
    <row r="229" ht="13.5" customHeight="1" s="614">
      <c r="A229" s="780" t="n"/>
      <c r="B229" s="780" t="n"/>
      <c r="C229" s="834" t="inlineStr">
        <is>
          <t>ボルト・ナットの緩み</t>
        </is>
      </c>
      <c r="D229" s="784" t="n"/>
      <c r="E229" s="783" t="n"/>
      <c r="F229" s="784" t="n"/>
      <c r="G229" s="783" t="n"/>
      <c r="H229" s="784" t="n"/>
      <c r="I229" s="783" t="n"/>
      <c r="J229" s="784" t="n"/>
      <c r="K229" s="783" t="n"/>
      <c r="L229" s="784" t="n"/>
      <c r="M229" s="783" t="n"/>
      <c r="N229" s="784" t="n"/>
    </row>
    <row r="230" ht="13.5" customHeight="1" s="614">
      <c r="A230" s="769" t="n"/>
      <c r="B230" s="769" t="n"/>
      <c r="C230" s="835" t="inlineStr">
        <is>
          <t>モード確認</t>
        </is>
      </c>
      <c r="D230" s="654" t="n"/>
      <c r="E230" s="793" t="n"/>
      <c r="F230" s="788" t="n"/>
      <c r="G230" s="793" t="n"/>
      <c r="H230" s="788" t="n"/>
      <c r="I230" s="793" t="n"/>
      <c r="J230" s="788" t="n"/>
      <c r="K230" s="793" t="n"/>
      <c r="L230" s="788" t="n"/>
      <c r="M230" s="793" t="n"/>
      <c r="N230" s="788" t="n"/>
    </row>
    <row r="231" ht="13.5" customHeight="1" s="614">
      <c r="A231" s="772" t="inlineStr">
        <is>
          <t>水処理用ﾀﾞﾝﾊﾟ</t>
        </is>
      </c>
      <c r="B231" s="768" t="inlineStr">
        <is>
          <t>―</t>
        </is>
      </c>
      <c r="C231" s="836" t="inlineStr">
        <is>
          <t>異音、振動</t>
        </is>
      </c>
      <c r="D231" s="779" t="n"/>
      <c r="E231" s="837" t="n"/>
      <c r="F231" s="824" t="n"/>
      <c r="G231" s="837" t="n"/>
      <c r="H231" s="824" t="n"/>
      <c r="I231" s="837" t="n"/>
      <c r="J231" s="824" t="n"/>
      <c r="K231" s="837" t="n"/>
      <c r="L231" s="824" t="n"/>
      <c r="M231" s="837" t="n"/>
      <c r="N231" s="824" t="n"/>
      <c r="P231" s="712" t="n"/>
      <c r="Q231" s="712" t="n"/>
    </row>
    <row r="232" ht="13.5" customHeight="1" s="614">
      <c r="A232" s="769" t="n"/>
      <c r="B232" s="769" t="n"/>
      <c r="C232" s="838" t="inlineStr">
        <is>
          <t>モード確認</t>
        </is>
      </c>
      <c r="D232" s="788" t="n"/>
      <c r="E232" s="793" t="n"/>
      <c r="F232" s="788" t="n"/>
      <c r="G232" s="793" t="n"/>
      <c r="H232" s="788" t="n"/>
      <c r="I232" s="793" t="n"/>
      <c r="J232" s="788" t="n"/>
      <c r="K232" s="793" t="n"/>
      <c r="L232" s="788" t="n"/>
      <c r="M232" s="793" t="n"/>
      <c r="N232" s="788" t="n"/>
    </row>
    <row r="233" ht="13.5" customHeight="1" s="614">
      <c r="A233" s="772" t="inlineStr">
        <is>
          <t>汚泥処理用ﾀﾞﾝﾊﾟ</t>
        </is>
      </c>
      <c r="B233" s="768" t="inlineStr">
        <is>
          <t>―</t>
        </is>
      </c>
      <c r="C233" s="825" t="inlineStr">
        <is>
          <t>異音、振動</t>
        </is>
      </c>
      <c r="D233" s="829" t="n"/>
      <c r="E233" s="837" t="n"/>
      <c r="F233" s="824" t="n"/>
      <c r="G233" s="837" t="n"/>
      <c r="H233" s="824" t="n"/>
      <c r="I233" s="837" t="n"/>
      <c r="J233" s="824" t="n"/>
      <c r="K233" s="837" t="n"/>
      <c r="L233" s="824" t="n"/>
      <c r="M233" s="837" t="n"/>
      <c r="N233" s="824" t="n"/>
    </row>
    <row r="234" ht="13.5" customHeight="1" s="614">
      <c r="A234" s="769" t="n"/>
      <c r="B234" s="769" t="n"/>
      <c r="C234" s="791" t="inlineStr">
        <is>
          <t>モード確認</t>
        </is>
      </c>
      <c r="D234" s="792" t="n"/>
      <c r="E234" s="793" t="n"/>
      <c r="F234" s="788" t="n"/>
      <c r="G234" s="793" t="n"/>
      <c r="H234" s="788" t="n"/>
      <c r="I234" s="793" t="n"/>
      <c r="J234" s="788" t="n"/>
      <c r="K234" s="793" t="n"/>
      <c r="L234" s="788" t="n"/>
      <c r="M234" s="793" t="n"/>
      <c r="N234" s="788" t="n"/>
    </row>
    <row r="235" ht="13.5" customHeight="1" s="614">
      <c r="A235" s="772" t="inlineStr">
        <is>
          <t>吸着脱装置</t>
        </is>
      </c>
      <c r="B235" s="768" t="inlineStr">
        <is>
          <t>―</t>
        </is>
      </c>
      <c r="C235" s="836" t="inlineStr">
        <is>
          <t>マノメータ等の作動確認</t>
        </is>
      </c>
      <c r="D235" s="779" t="n"/>
      <c r="E235" s="837" t="n"/>
      <c r="F235" s="824" t="n"/>
      <c r="G235" s="837" t="n"/>
      <c r="H235" s="824" t="n"/>
      <c r="I235" s="837" t="n"/>
      <c r="J235" s="824" t="n"/>
      <c r="K235" s="837" t="n"/>
      <c r="L235" s="824" t="n"/>
      <c r="M235" s="837" t="n"/>
      <c r="N235" s="824" t="n"/>
    </row>
    <row r="236" ht="13.5" customHeight="1" s="614">
      <c r="A236" s="769" t="n"/>
      <c r="B236" s="769" t="n"/>
      <c r="C236" s="838">
        <f>C233</f>
        <v/>
      </c>
      <c r="D236" s="788" t="n"/>
      <c r="E236" s="787" t="n"/>
      <c r="F236" s="788" t="n"/>
      <c r="G236" s="787" t="n"/>
      <c r="H236" s="788" t="n"/>
      <c r="I236" s="787" t="n"/>
      <c r="J236" s="788" t="n"/>
      <c r="K236" s="787" t="n"/>
      <c r="L236" s="788" t="n"/>
      <c r="M236" s="787" t="n"/>
      <c r="N236" s="788" t="n"/>
      <c r="P236" s="712" t="n"/>
      <c r="Q236" s="712" t="n"/>
      <c r="R236" s="712" t="n"/>
    </row>
    <row r="237" ht="13.5" customHeight="1" s="614">
      <c r="A237" s="772" t="inlineStr">
        <is>
          <t>自家発室給気ファン</t>
        </is>
      </c>
      <c r="B237" s="768" t="inlineStr">
        <is>
          <t>―</t>
        </is>
      </c>
      <c r="C237" s="825" t="inlineStr">
        <is>
          <t>異音、振動</t>
        </is>
      </c>
      <c r="D237" s="829" t="n"/>
      <c r="E237" s="837" t="n"/>
      <c r="F237" s="824" t="n"/>
      <c r="G237" s="837" t="n"/>
      <c r="H237" s="824" t="n"/>
      <c r="I237" s="837" t="n"/>
      <c r="J237" s="824" t="n"/>
      <c r="K237" s="837" t="n"/>
      <c r="L237" s="824" t="n"/>
      <c r="M237" s="837" t="n"/>
      <c r="N237" s="824" t="n"/>
    </row>
    <row r="238" ht="13.5" customHeight="1" s="614">
      <c r="A238" s="769" t="n"/>
      <c r="B238" s="769" t="n"/>
      <c r="C238" s="791" t="inlineStr">
        <is>
          <t>モード確認</t>
        </is>
      </c>
      <c r="D238" s="792" t="n"/>
      <c r="E238" s="793" t="n"/>
      <c r="F238" s="788" t="n"/>
      <c r="G238" s="793" t="n"/>
      <c r="H238" s="788" t="n"/>
      <c r="I238" s="793" t="n"/>
      <c r="J238" s="788" t="n"/>
      <c r="K238" s="793" t="n"/>
      <c r="L238" s="788" t="n"/>
      <c r="M238" s="793" t="n"/>
      <c r="N238" s="788" t="n"/>
    </row>
    <row r="239" ht="13.5" customHeight="1" s="614">
      <c r="A239" s="772" t="inlineStr">
        <is>
          <t>自家発室排気ファン</t>
        </is>
      </c>
      <c r="B239" s="768" t="inlineStr">
        <is>
          <t>―</t>
        </is>
      </c>
      <c r="C239" s="825" t="inlineStr">
        <is>
          <t>異音、振動</t>
        </is>
      </c>
      <c r="D239" s="829" t="n"/>
      <c r="E239" s="837" t="n"/>
      <c r="F239" s="824" t="n"/>
      <c r="G239" s="837" t="n"/>
      <c r="H239" s="824" t="n"/>
      <c r="I239" s="837" t="n"/>
      <c r="J239" s="824" t="n"/>
      <c r="K239" s="837" t="n"/>
      <c r="L239" s="824" t="n"/>
      <c r="M239" s="837" t="n"/>
      <c r="N239" s="824" t="n"/>
    </row>
    <row r="240" ht="13.5" customHeight="1" s="614">
      <c r="A240" s="769" t="n"/>
      <c r="B240" s="769" t="n"/>
      <c r="C240" s="791" t="inlineStr">
        <is>
          <t>モード確認</t>
        </is>
      </c>
      <c r="D240" s="792" t="n"/>
      <c r="E240" s="793" t="n"/>
      <c r="F240" s="788" t="n"/>
      <c r="G240" s="793" t="n"/>
      <c r="H240" s="788" t="n"/>
      <c r="I240" s="793" t="n"/>
      <c r="J240" s="788" t="n"/>
      <c r="K240" s="793" t="n"/>
      <c r="L240" s="788" t="n"/>
      <c r="M240" s="793" t="n"/>
      <c r="N240" s="788" t="n"/>
    </row>
    <row r="241" ht="13.5" customHeight="1" s="614">
      <c r="A241" s="772" t="inlineStr">
        <is>
          <t>汚泥ポンプ室給気ファン</t>
        </is>
      </c>
      <c r="B241" s="768" t="inlineStr">
        <is>
          <t>―</t>
        </is>
      </c>
      <c r="C241" s="825" t="inlineStr">
        <is>
          <t>異音、振動</t>
        </is>
      </c>
      <c r="D241" s="829" t="n"/>
      <c r="E241" s="837" t="n"/>
      <c r="F241" s="824" t="n"/>
      <c r="G241" s="837" t="n"/>
      <c r="H241" s="824" t="n"/>
      <c r="I241" s="837" t="n"/>
      <c r="J241" s="824" t="n"/>
      <c r="K241" s="837" t="n"/>
      <c r="L241" s="824" t="n"/>
      <c r="M241" s="837" t="n"/>
      <c r="N241" s="824" t="n"/>
    </row>
    <row r="242" ht="13.5" customHeight="1" s="614">
      <c r="A242" s="769" t="n"/>
      <c r="B242" s="769" t="n"/>
      <c r="C242" s="791" t="inlineStr">
        <is>
          <t>モード確認</t>
        </is>
      </c>
      <c r="D242" s="792" t="n"/>
      <c r="E242" s="793" t="n"/>
      <c r="F242" s="788" t="n"/>
      <c r="G242" s="793" t="n"/>
      <c r="H242" s="788" t="n"/>
      <c r="I242" s="793" t="n"/>
      <c r="J242" s="788" t="n"/>
      <c r="K242" s="793" t="n"/>
      <c r="L242" s="788" t="n"/>
      <c r="M242" s="793" t="n"/>
      <c r="N242" s="788" t="n"/>
    </row>
    <row r="243" ht="13.5" customHeight="1" s="614">
      <c r="A243" s="772" t="inlineStr">
        <is>
          <t>汚泥ポンプ室排気ファン</t>
        </is>
      </c>
      <c r="B243" s="768" t="inlineStr">
        <is>
          <t>―</t>
        </is>
      </c>
      <c r="C243" s="825" t="inlineStr">
        <is>
          <t>異音、振動</t>
        </is>
      </c>
      <c r="D243" s="829" t="n"/>
      <c r="E243" s="837" t="n"/>
      <c r="F243" s="824" t="n"/>
      <c r="G243" s="837" t="n"/>
      <c r="H243" s="824" t="n"/>
      <c r="I243" s="837" t="n"/>
      <c r="J243" s="824" t="n"/>
      <c r="K243" s="837" t="n"/>
      <c r="L243" s="824" t="n"/>
      <c r="M243" s="837" t="n"/>
      <c r="N243" s="824" t="n"/>
    </row>
    <row r="244" ht="13.5" customHeight="1" s="614">
      <c r="A244" s="769" t="n"/>
      <c r="B244" s="769" t="n"/>
      <c r="C244" s="791" t="inlineStr">
        <is>
          <t>モード確認</t>
        </is>
      </c>
      <c r="D244" s="792" t="n"/>
      <c r="E244" s="793" t="n"/>
      <c r="F244" s="788" t="n"/>
      <c r="G244" s="793" t="n"/>
      <c r="H244" s="788" t="n"/>
      <c r="I244" s="793" t="n"/>
      <c r="J244" s="788" t="n"/>
      <c r="K244" s="793" t="n"/>
      <c r="L244" s="788" t="n"/>
      <c r="M244" s="793" t="n"/>
      <c r="N244" s="788" t="n"/>
    </row>
    <row r="245" ht="13.5" customHeight="1" s="614">
      <c r="A245" s="772" t="inlineStr">
        <is>
          <t>脱水機室給気ファン</t>
        </is>
      </c>
      <c r="B245" s="768" t="inlineStr">
        <is>
          <t>―</t>
        </is>
      </c>
      <c r="C245" s="825" t="inlineStr">
        <is>
          <t>異音、振動</t>
        </is>
      </c>
      <c r="D245" s="829" t="n"/>
      <c r="E245" s="823" t="n"/>
      <c r="F245" s="824" t="n"/>
      <c r="G245" s="823" t="n"/>
      <c r="H245" s="824" t="n"/>
      <c r="I245" s="823" t="n"/>
      <c r="J245" s="824" t="n"/>
      <c r="K245" s="823" t="n"/>
      <c r="L245" s="824" t="n"/>
      <c r="M245" s="823" t="n"/>
      <c r="N245" s="824" t="n"/>
    </row>
    <row r="246" ht="13.5" customHeight="1" s="614">
      <c r="A246" s="769" t="n"/>
      <c r="B246" s="769" t="n"/>
      <c r="C246" s="791" t="inlineStr">
        <is>
          <t>モード確認</t>
        </is>
      </c>
      <c r="D246" s="792" t="n"/>
      <c r="E246" s="793" t="n"/>
      <c r="F246" s="788" t="n"/>
      <c r="G246" s="793" t="n"/>
      <c r="H246" s="788" t="n"/>
      <c r="I246" s="793" t="n"/>
      <c r="J246" s="788" t="n"/>
      <c r="K246" s="793" t="n"/>
      <c r="L246" s="788" t="n"/>
      <c r="M246" s="793" t="n"/>
      <c r="N246" s="788" t="n"/>
    </row>
    <row r="247" ht="13.5" customHeight="1" s="614">
      <c r="A247" s="772" t="inlineStr">
        <is>
          <t>脱水機室排気ファン</t>
        </is>
      </c>
      <c r="B247" s="768" t="inlineStr">
        <is>
          <t>―</t>
        </is>
      </c>
      <c r="C247" s="825" t="inlineStr">
        <is>
          <t>異音、振動</t>
        </is>
      </c>
      <c r="D247" s="829" t="n"/>
      <c r="E247" s="823" t="n"/>
      <c r="F247" s="824" t="n"/>
      <c r="G247" s="823" t="n"/>
      <c r="H247" s="824" t="n"/>
      <c r="I247" s="823" t="n"/>
      <c r="J247" s="824" t="n"/>
      <c r="K247" s="823" t="n"/>
      <c r="L247" s="824" t="n"/>
      <c r="M247" s="823" t="n"/>
      <c r="N247" s="824" t="n"/>
    </row>
    <row r="248" ht="13.5" customHeight="1" s="614">
      <c r="A248" s="769" t="n"/>
      <c r="B248" s="769" t="n"/>
      <c r="C248" s="791" t="inlineStr">
        <is>
          <t>モード確認</t>
        </is>
      </c>
      <c r="D248" s="792" t="n"/>
      <c r="E248" s="793" t="n"/>
      <c r="F248" s="788" t="n"/>
      <c r="G248" s="793" t="n"/>
      <c r="H248" s="788" t="n"/>
      <c r="I248" s="793" t="n"/>
      <c r="J248" s="788" t="n"/>
      <c r="K248" s="793" t="n"/>
      <c r="L248" s="788" t="n"/>
      <c r="M248" s="793" t="n"/>
      <c r="N248" s="788" t="n"/>
    </row>
    <row r="249" ht="13.5" customHeight="1" s="614">
      <c r="A249" s="809" t="inlineStr">
        <is>
          <t xml:space="preserve">　　備　　考</t>
        </is>
      </c>
      <c r="B249" s="839" t="n"/>
      <c r="C249" s="839" t="n"/>
      <c r="D249" s="839" t="n"/>
      <c r="E249" s="839" t="n"/>
      <c r="F249" s="839" t="n"/>
      <c r="G249" s="839" t="n"/>
      <c r="H249" s="839" t="n"/>
      <c r="I249" s="839" t="n"/>
      <c r="J249" s="839" t="n"/>
      <c r="K249" s="839" t="n"/>
      <c r="L249" s="839" t="n"/>
      <c r="M249" s="839" t="n"/>
      <c r="N249" s="840" t="n"/>
    </row>
    <row r="250" ht="13.5" customHeight="1" s="614">
      <c r="A250" s="809" t="n"/>
      <c r="B250" s="839" t="n"/>
      <c r="C250" s="839" t="n"/>
      <c r="D250" s="839" t="n"/>
      <c r="E250" s="839" t="n"/>
      <c r="F250" s="839" t="n"/>
      <c r="G250" s="839" t="n"/>
      <c r="H250" s="839" t="n"/>
      <c r="I250" s="839" t="n"/>
      <c r="J250" s="839" t="n"/>
      <c r="K250" s="839" t="n"/>
      <c r="L250" s="839" t="n"/>
      <c r="M250" s="839" t="n"/>
      <c r="N250" s="840" t="n"/>
    </row>
    <row r="251" ht="13.5" customHeight="1" s="614">
      <c r="A251" s="809" t="n"/>
      <c r="B251" s="839" t="n"/>
      <c r="C251" s="839" t="n"/>
      <c r="D251" s="839" t="n"/>
      <c r="E251" s="839" t="n"/>
      <c r="F251" s="839" t="n"/>
      <c r="G251" s="839" t="n"/>
      <c r="H251" s="839" t="n"/>
      <c r="I251" s="839" t="n"/>
      <c r="J251" s="839" t="n"/>
      <c r="K251" s="839" t="n"/>
      <c r="L251" s="839" t="n"/>
      <c r="M251" s="839" t="n"/>
      <c r="N251" s="840" t="n"/>
    </row>
    <row r="252" ht="13.5" customHeight="1" s="614">
      <c r="A252" s="809" t="n"/>
      <c r="B252" s="839" t="n"/>
      <c r="C252" s="839" t="n"/>
      <c r="D252" s="839" t="n"/>
      <c r="E252" s="839" t="n"/>
      <c r="F252" s="839" t="n"/>
      <c r="G252" s="839" t="n"/>
      <c r="H252" s="839" t="n"/>
      <c r="I252" s="839" t="n"/>
      <c r="J252" s="839" t="n"/>
      <c r="K252" s="839" t="n"/>
      <c r="L252" s="839" t="n"/>
      <c r="M252" s="839" t="n"/>
      <c r="N252" s="840" t="n"/>
    </row>
    <row r="253" ht="13.5" customHeight="1" s="614">
      <c r="A253" s="809" t="n"/>
      <c r="B253" s="839" t="n"/>
      <c r="C253" s="839" t="n"/>
      <c r="D253" s="839" t="n"/>
      <c r="E253" s="839" t="n"/>
      <c r="F253" s="839" t="n"/>
      <c r="G253" s="839" t="n"/>
      <c r="H253" s="839" t="n"/>
      <c r="I253" s="839" t="n"/>
      <c r="J253" s="839" t="n"/>
      <c r="K253" s="839" t="n"/>
      <c r="L253" s="839" t="n"/>
      <c r="M253" s="839" t="n"/>
      <c r="N253" s="840" t="n"/>
    </row>
    <row r="254" ht="13.5" customHeight="1" s="614">
      <c r="A254" s="809" t="n"/>
      <c r="B254" s="839" t="n"/>
      <c r="C254" s="839" t="n"/>
      <c r="D254" s="839" t="n"/>
      <c r="E254" s="839" t="n"/>
      <c r="F254" s="839" t="n"/>
      <c r="G254" s="839" t="n"/>
      <c r="H254" s="839" t="n"/>
      <c r="I254" s="839" t="n"/>
      <c r="J254" s="839" t="n"/>
      <c r="K254" s="839" t="n"/>
      <c r="L254" s="839" t="n"/>
      <c r="M254" s="839" t="n"/>
      <c r="N254" s="840" t="n"/>
    </row>
    <row r="255" ht="13.5" customHeight="1" s="614">
      <c r="A255" s="809" t="n"/>
      <c r="B255" s="839" t="n"/>
      <c r="C255" s="839" t="n"/>
      <c r="D255" s="839" t="n"/>
      <c r="E255" s="839" t="n"/>
      <c r="F255" s="839" t="n"/>
      <c r="G255" s="839" t="n"/>
      <c r="H255" s="839" t="n"/>
      <c r="I255" s="839" t="n"/>
      <c r="J255" s="839" t="n"/>
      <c r="K255" s="839" t="n"/>
      <c r="L255" s="839" t="n"/>
      <c r="M255" s="839" t="n"/>
      <c r="N255" s="840" t="n"/>
    </row>
    <row r="256" ht="13.5" customHeight="1" s="614">
      <c r="A256" s="809" t="n"/>
      <c r="B256" s="839" t="n"/>
      <c r="C256" s="839" t="n"/>
      <c r="D256" s="839" t="n"/>
      <c r="E256" s="839" t="n"/>
      <c r="F256" s="839" t="n"/>
      <c r="G256" s="839" t="n"/>
      <c r="H256" s="839" t="n"/>
      <c r="I256" s="839" t="n"/>
      <c r="J256" s="839" t="n"/>
      <c r="K256" s="839" t="n"/>
      <c r="L256" s="839" t="n"/>
      <c r="M256" s="839" t="n"/>
      <c r="N256" s="840" t="n"/>
    </row>
    <row r="257" ht="13.5" customHeight="1" s="614">
      <c r="A257" s="809" t="n"/>
      <c r="B257" s="839" t="n"/>
      <c r="C257" s="839" t="n"/>
      <c r="D257" s="839" t="n"/>
      <c r="E257" s="839" t="n"/>
      <c r="F257" s="839" t="n"/>
      <c r="G257" s="839" t="n"/>
      <c r="H257" s="839" t="n"/>
      <c r="I257" s="839" t="n"/>
      <c r="J257" s="839" t="n"/>
      <c r="K257" s="839" t="n"/>
      <c r="L257" s="839" t="n"/>
      <c r="M257" s="839" t="n"/>
      <c r="N257" s="840" t="n"/>
    </row>
    <row r="258" ht="13.5" customHeight="1" s="614">
      <c r="A258" s="809" t="n"/>
      <c r="B258" s="839" t="n"/>
      <c r="C258" s="839" t="n"/>
      <c r="D258" s="839" t="n"/>
      <c r="E258" s="839" t="n"/>
      <c r="F258" s="839" t="n"/>
      <c r="G258" s="839" t="n"/>
      <c r="H258" s="839" t="n"/>
      <c r="I258" s="839" t="n"/>
      <c r="J258" s="839" t="n"/>
      <c r="K258" s="839" t="n"/>
      <c r="L258" s="839" t="n"/>
      <c r="M258" s="839" t="n"/>
      <c r="N258" s="840" t="n"/>
    </row>
    <row r="259" ht="13.5" customHeight="1" s="614">
      <c r="A259" s="809" t="n"/>
      <c r="B259" s="839" t="n"/>
      <c r="C259" s="839" t="n"/>
      <c r="D259" s="839" t="n"/>
      <c r="E259" s="839" t="n"/>
      <c r="F259" s="839" t="n"/>
      <c r="G259" s="839" t="n"/>
      <c r="H259" s="839" t="n"/>
      <c r="I259" s="839" t="n"/>
      <c r="J259" s="839" t="n"/>
      <c r="K259" s="839" t="n"/>
      <c r="L259" s="839" t="n"/>
      <c r="M259" s="839" t="n"/>
      <c r="N259" s="840" t="n"/>
    </row>
    <row r="260" ht="13.5" customHeight="1" s="614">
      <c r="A260" s="809" t="n"/>
      <c r="B260" s="839" t="n"/>
      <c r="C260" s="839" t="n"/>
      <c r="D260" s="839" t="n"/>
      <c r="E260" s="839" t="n"/>
      <c r="F260" s="839" t="n"/>
      <c r="G260" s="839" t="n"/>
      <c r="H260" s="839" t="n"/>
      <c r="I260" s="839" t="n"/>
      <c r="J260" s="839" t="n"/>
      <c r="K260" s="839" t="n"/>
      <c r="L260" s="839" t="n"/>
      <c r="M260" s="839" t="n"/>
      <c r="N260" s="840" t="n"/>
    </row>
    <row r="261" ht="13.5" customHeight="1" s="614">
      <c r="A261" s="809" t="n"/>
      <c r="B261" s="839" t="n"/>
      <c r="C261" s="839" t="n"/>
      <c r="D261" s="839" t="n"/>
      <c r="E261" s="839" t="n"/>
      <c r="F261" s="839" t="n"/>
      <c r="G261" s="839" t="n"/>
      <c r="H261" s="839" t="n"/>
      <c r="I261" s="839" t="n"/>
      <c r="J261" s="839" t="n"/>
      <c r="K261" s="839" t="n"/>
      <c r="L261" s="839" t="n"/>
      <c r="M261" s="839" t="n"/>
      <c r="N261" s="840" t="n"/>
    </row>
    <row r="262" ht="13.5" customHeight="1" s="614">
      <c r="A262" s="809" t="n"/>
      <c r="B262" s="839" t="n"/>
      <c r="C262" s="839" t="n"/>
      <c r="D262" s="839" t="n"/>
      <c r="E262" s="839" t="n"/>
      <c r="F262" s="839" t="n"/>
      <c r="G262" s="839" t="n"/>
      <c r="H262" s="839" t="n"/>
      <c r="I262" s="839" t="n"/>
      <c r="J262" s="839" t="n"/>
      <c r="K262" s="839" t="n"/>
      <c r="L262" s="839" t="n"/>
      <c r="M262" s="839" t="n"/>
      <c r="N262" s="840" t="n"/>
    </row>
    <row r="263" ht="13.5" customHeight="1" s="614">
      <c r="A263" s="785" t="n"/>
      <c r="B263" s="819" t="n"/>
      <c r="C263" s="819" t="n"/>
      <c r="D263" s="819" t="n"/>
      <c r="E263" s="819" t="n"/>
      <c r="F263" s="819" t="n"/>
      <c r="G263" s="819" t="n"/>
      <c r="H263" s="819" t="n"/>
      <c r="I263" s="819" t="n"/>
      <c r="J263" s="819" t="n"/>
      <c r="K263" s="819" t="n"/>
      <c r="L263" s="819" t="n"/>
      <c r="M263" s="819" t="n"/>
      <c r="N263" s="841" t="n"/>
    </row>
    <row r="264" ht="13.5" customHeight="1" s="614">
      <c r="A264" s="820" t="inlineStr">
        <is>
          <t xml:space="preserve">　○：良　　△：要注意　　×：要修理</t>
        </is>
      </c>
    </row>
    <row r="265" ht="21" customHeight="1" s="614">
      <c r="A265" s="764" t="inlineStr">
        <is>
          <t>機械設備日常点検表（１/２）</t>
        </is>
      </c>
      <c r="B265" s="674" t="n"/>
      <c r="C265" s="765" t="n"/>
      <c r="D265" s="674" t="n"/>
      <c r="E265" s="674" t="n"/>
      <c r="F265" s="674" t="n"/>
      <c r="G265" s="674" t="n"/>
      <c r="H265" s="674" t="n"/>
      <c r="I265" s="674" t="n"/>
      <c r="J265" s="674" t="n"/>
      <c r="K265" s="765">
        <f>K1</f>
        <v/>
      </c>
      <c r="L265" s="765" t="n"/>
      <c r="M265" s="765" t="n"/>
      <c r="N265" s="674" t="n"/>
    </row>
    <row r="266" ht="13.5" customHeight="1" s="614">
      <c r="A266" s="767" t="inlineStr">
        <is>
          <t>機　器　名</t>
        </is>
      </c>
      <c r="B266" s="768" t="inlineStr">
        <is>
          <t>No</t>
        </is>
      </c>
      <c r="C266" s="767" t="inlineStr">
        <is>
          <t>点 検 者</t>
        </is>
      </c>
      <c r="D266" s="627" t="n"/>
      <c r="E266" s="843" t="n"/>
      <c r="F266" s="626" t="n"/>
      <c r="G266" s="843" t="n"/>
      <c r="H266" s="626" t="n"/>
      <c r="I266" s="843" t="n"/>
      <c r="J266" s="626" t="n"/>
      <c r="K266" s="843" t="n"/>
      <c r="L266" s="626" t="n"/>
      <c r="M266" s="767" t="n"/>
      <c r="N266" s="627" t="n"/>
    </row>
    <row r="267" ht="13.5" customHeight="1" s="614">
      <c r="A267" s="769" t="n"/>
      <c r="B267" s="769" t="n"/>
      <c r="C267" s="770" t="inlineStr">
        <is>
          <t>点検内容</t>
        </is>
      </c>
      <c r="D267" s="627" t="n"/>
      <c r="E267" s="771" t="n"/>
      <c r="F267" s="627" t="n"/>
      <c r="G267" s="771" t="n"/>
      <c r="H267" s="627" t="n"/>
      <c r="I267" s="771" t="n"/>
      <c r="J267" s="627" t="n"/>
      <c r="K267" s="771" t="n"/>
      <c r="L267" s="627" t="n"/>
      <c r="M267" s="771" t="n"/>
      <c r="N267" s="627" t="n"/>
    </row>
    <row r="268" ht="13.5" customHeight="1" s="614">
      <c r="A268" s="772" t="inlineStr">
        <is>
          <t>ポンプ井</t>
        </is>
      </c>
      <c r="B268" s="768" t="inlineStr">
        <is>
          <t>―</t>
        </is>
      </c>
      <c r="C268" s="773" t="inlineStr">
        <is>
          <t>内部状況確認</t>
        </is>
      </c>
      <c r="D268" s="805" t="n"/>
      <c r="E268" s="775" t="n"/>
      <c r="F268" s="627" t="n"/>
      <c r="G268" s="775" t="n"/>
      <c r="H268" s="627" t="n"/>
      <c r="I268" s="775" t="n"/>
      <c r="J268" s="627" t="n"/>
      <c r="K268" s="775" t="n"/>
      <c r="L268" s="627" t="n"/>
      <c r="M268" s="775" t="n"/>
      <c r="N268" s="627" t="n"/>
    </row>
    <row r="269" ht="13.5" customHeight="1" s="614">
      <c r="A269" s="772" t="inlineStr">
        <is>
          <t>汚水ポンプ</t>
        </is>
      </c>
      <c r="B269" s="768" t="n">
        <v>1</v>
      </c>
      <c r="C269" s="776" t="inlineStr">
        <is>
          <t>電流値</t>
        </is>
      </c>
      <c r="D269" s="777" t="inlineStr">
        <is>
          <t>Ａ</t>
        </is>
      </c>
      <c r="E269" s="778" t="n"/>
      <c r="F269" s="779" t="n"/>
      <c r="G269" s="778" t="n"/>
      <c r="H269" s="779" t="n"/>
      <c r="I269" s="778" t="n"/>
      <c r="J269" s="779" t="n"/>
      <c r="K269" s="778" t="n"/>
      <c r="L269" s="779" t="n"/>
      <c r="M269" s="778" t="n"/>
      <c r="N269" s="779" t="n"/>
    </row>
    <row r="270" ht="13.5" customHeight="1" s="614">
      <c r="A270" s="780" t="n"/>
      <c r="B270" s="780" t="n"/>
      <c r="C270" s="781" t="inlineStr">
        <is>
          <t>吐出圧力</t>
        </is>
      </c>
      <c r="D270" s="782" t="inlineStr">
        <is>
          <t>Mpa</t>
        </is>
      </c>
      <c r="E270" s="783" t="n"/>
      <c r="F270" s="784" t="n"/>
      <c r="G270" s="783" t="n"/>
      <c r="H270" s="784" t="n"/>
      <c r="I270" s="783" t="n"/>
      <c r="J270" s="784" t="n"/>
      <c r="K270" s="783" t="n"/>
      <c r="L270" s="784" t="n"/>
      <c r="M270" s="783" t="n"/>
      <c r="N270" s="784" t="n"/>
    </row>
    <row r="271" ht="13.5" customHeight="1" s="614">
      <c r="A271" s="780" t="n"/>
      <c r="B271" s="769" t="n"/>
      <c r="C271" s="785" t="inlineStr">
        <is>
          <t>異音、振動</t>
        </is>
      </c>
      <c r="D271" s="786" t="n"/>
      <c r="E271" s="787" t="n"/>
      <c r="F271" s="788" t="n"/>
      <c r="G271" s="787" t="n"/>
      <c r="H271" s="788" t="n"/>
      <c r="I271" s="787" t="n"/>
      <c r="J271" s="788" t="n"/>
      <c r="K271" s="787" t="n"/>
      <c r="L271" s="788" t="n"/>
      <c r="M271" s="787" t="n"/>
      <c r="N271" s="788" t="n"/>
    </row>
    <row r="272" ht="13.5" customHeight="1" s="614">
      <c r="A272" s="780" t="n"/>
      <c r="B272" s="768" t="n">
        <v>2</v>
      </c>
      <c r="C272" s="776" t="inlineStr">
        <is>
          <t>電流値</t>
        </is>
      </c>
      <c r="D272" s="777" t="inlineStr">
        <is>
          <t>Ａ</t>
        </is>
      </c>
      <c r="E272" s="778" t="n"/>
      <c r="F272" s="779" t="n"/>
      <c r="G272" s="778" t="n"/>
      <c r="H272" s="779" t="n"/>
      <c r="I272" s="778" t="n"/>
      <c r="J272" s="779" t="n"/>
      <c r="K272" s="778" t="n"/>
      <c r="L272" s="779" t="n"/>
      <c r="M272" s="778" t="n"/>
      <c r="N272" s="779" t="n"/>
    </row>
    <row r="273" ht="13.5" customHeight="1" s="614">
      <c r="A273" s="780" t="n"/>
      <c r="B273" s="780" t="n"/>
      <c r="C273" s="781" t="inlineStr">
        <is>
          <t>吐出圧力</t>
        </is>
      </c>
      <c r="D273" s="782" t="inlineStr">
        <is>
          <t>Mpa</t>
        </is>
      </c>
      <c r="E273" s="783" t="n"/>
      <c r="F273" s="784" t="n"/>
      <c r="G273" s="783" t="n"/>
      <c r="H273" s="784" t="n"/>
      <c r="I273" s="783" t="n"/>
      <c r="J273" s="784" t="n"/>
      <c r="K273" s="783" t="n"/>
      <c r="L273" s="784" t="n"/>
      <c r="M273" s="783" t="n"/>
      <c r="N273" s="784" t="n"/>
      <c r="P273" s="675" t="n"/>
    </row>
    <row r="274" ht="13.5" customHeight="1" s="614">
      <c r="A274" s="780" t="n"/>
      <c r="B274" s="769" t="n"/>
      <c r="C274" s="785">
        <f>C271</f>
        <v/>
      </c>
      <c r="D274" s="786" t="n"/>
      <c r="E274" s="787" t="n"/>
      <c r="F274" s="788" t="n"/>
      <c r="G274" s="787" t="n"/>
      <c r="H274" s="788" t="n"/>
      <c r="I274" s="787" t="n"/>
      <c r="J274" s="788" t="n"/>
      <c r="K274" s="787" t="n"/>
      <c r="L274" s="788" t="n"/>
      <c r="M274" s="787" t="n"/>
      <c r="N274" s="788" t="n"/>
    </row>
    <row r="275" ht="13.5" customHeight="1" s="614">
      <c r="A275" s="780" t="n"/>
      <c r="B275" s="768" t="inlineStr">
        <is>
          <t>―</t>
        </is>
      </c>
      <c r="C275" s="776" t="inlineStr">
        <is>
          <t>モード確認</t>
        </is>
      </c>
      <c r="D275" s="777" t="n"/>
      <c r="E275" s="789" t="n"/>
      <c r="F275" s="779" t="n"/>
      <c r="G275" s="789" t="n"/>
      <c r="H275" s="779" t="n"/>
      <c r="I275" s="789" t="n"/>
      <c r="J275" s="779" t="n"/>
      <c r="K275" s="789" t="n"/>
      <c r="L275" s="779" t="n"/>
      <c r="M275" s="789" t="n"/>
      <c r="N275" s="779" t="n"/>
      <c r="P275" s="790" t="n"/>
      <c r="Q275" s="790" t="n"/>
      <c r="R275" s="790" t="n"/>
    </row>
    <row r="276" ht="13.5" customHeight="1" s="614">
      <c r="A276" s="769" t="n"/>
      <c r="B276" s="769" t="n"/>
      <c r="C276" s="791" t="inlineStr">
        <is>
          <t>常用機選択</t>
        </is>
      </c>
      <c r="D276" s="792" t="n"/>
      <c r="E276" s="793" t="n"/>
      <c r="F276" s="788" t="n"/>
      <c r="G276" s="793" t="n"/>
      <c r="H276" s="788" t="n"/>
      <c r="I276" s="793" t="n"/>
      <c r="J276" s="788" t="n"/>
      <c r="K276" s="793" t="n"/>
      <c r="L276" s="788" t="n"/>
      <c r="M276" s="793" t="n"/>
      <c r="N276" s="788" t="n"/>
      <c r="P276" s="794" t="n"/>
      <c r="Q276" s="794" t="n"/>
      <c r="R276" s="790" t="n"/>
    </row>
    <row r="277" ht="13.5" customHeight="1" s="614">
      <c r="A277" s="795" t="inlineStr">
        <is>
          <t>スクリーンユニット</t>
        </is>
      </c>
      <c r="B277" s="796" t="n"/>
      <c r="C277" s="781" t="inlineStr">
        <is>
          <t>異音、振動</t>
        </is>
      </c>
      <c r="D277" s="782" t="n"/>
      <c r="E277" s="797" t="n"/>
      <c r="F277" s="779" t="n"/>
      <c r="G277" s="797" t="n"/>
      <c r="H277" s="779" t="n"/>
      <c r="I277" s="797" t="n"/>
      <c r="J277" s="779" t="n"/>
      <c r="K277" s="797" t="n"/>
      <c r="L277" s="779" t="n"/>
      <c r="M277" s="797" t="n"/>
      <c r="N277" s="779" t="n"/>
      <c r="S277" s="790" t="n"/>
    </row>
    <row r="278" ht="13.5" customHeight="1" s="614">
      <c r="A278" s="780" t="n"/>
      <c r="B278" s="780" t="n"/>
      <c r="C278" s="781" t="inlineStr">
        <is>
          <t>し渣量の確認</t>
        </is>
      </c>
      <c r="D278" s="782" t="n"/>
      <c r="E278" s="798" t="n"/>
      <c r="F278" s="784" t="n"/>
      <c r="G278" s="798" t="n"/>
      <c r="H278" s="784" t="n"/>
      <c r="I278" s="798" t="n"/>
      <c r="J278" s="784" t="n"/>
      <c r="K278" s="798" t="n"/>
      <c r="L278" s="784" t="n"/>
      <c r="M278" s="798" t="n"/>
      <c r="N278" s="784" t="n"/>
      <c r="P278" s="712" t="n"/>
      <c r="Q278" s="712" t="n"/>
      <c r="R278" s="790" t="n"/>
    </row>
    <row r="279" ht="13.5" customHeight="1" s="614">
      <c r="A279" s="769" t="n"/>
      <c r="B279" s="769" t="n"/>
      <c r="C279" s="785" t="inlineStr">
        <is>
          <t>運転動作</t>
        </is>
      </c>
      <c r="D279" s="786" t="n"/>
      <c r="E279" s="787" t="n"/>
      <c r="F279" s="788" t="n"/>
      <c r="G279" s="787" t="n"/>
      <c r="H279" s="788" t="n"/>
      <c r="I279" s="787" t="n"/>
      <c r="J279" s="788" t="n"/>
      <c r="K279" s="787" t="n"/>
      <c r="L279" s="788" t="n"/>
      <c r="M279" s="787" t="n"/>
      <c r="N279" s="788" t="n"/>
      <c r="P279" s="790" t="n"/>
      <c r="Q279" s="790" t="n"/>
    </row>
    <row r="280" ht="13.5" customHeight="1" s="614">
      <c r="A280" s="799" t="inlineStr">
        <is>
          <t>エアレーション装置</t>
        </is>
      </c>
      <c r="B280" s="800" t="inlineStr">
        <is>
          <t>1-1</t>
        </is>
      </c>
      <c r="C280" s="776" t="inlineStr">
        <is>
          <t>電流値</t>
        </is>
      </c>
      <c r="D280" s="777" t="inlineStr">
        <is>
          <t>Ａ</t>
        </is>
      </c>
      <c r="E280" s="778" t="n"/>
      <c r="F280" s="779" t="n"/>
      <c r="G280" s="778" t="n"/>
      <c r="H280" s="779" t="n"/>
      <c r="I280" s="778" t="n"/>
      <c r="J280" s="779" t="n"/>
      <c r="K280" s="778" t="n"/>
      <c r="L280" s="779" t="n"/>
      <c r="M280" s="778" t="n"/>
      <c r="N280" s="779" t="n"/>
    </row>
    <row r="281" ht="13.5" customHeight="1" s="614">
      <c r="A281" s="780" t="n"/>
      <c r="B281" s="780" t="n"/>
      <c r="C281" s="781">
        <f>C277</f>
        <v/>
      </c>
      <c r="D281" s="782" t="n"/>
      <c r="E281" s="783" t="n"/>
      <c r="F281" s="784" t="n"/>
      <c r="G281" s="783" t="n"/>
      <c r="H281" s="784" t="n"/>
      <c r="I281" s="783" t="n"/>
      <c r="J281" s="784" t="n"/>
      <c r="K281" s="783" t="n"/>
      <c r="L281" s="784" t="n"/>
      <c r="M281" s="783" t="n"/>
      <c r="N281" s="784" t="n"/>
    </row>
    <row r="282" ht="13.5" customHeight="1" s="614">
      <c r="A282" s="780" t="n"/>
      <c r="B282" s="769" t="n"/>
      <c r="C282" s="785">
        <f>C275</f>
        <v/>
      </c>
      <c r="D282" s="786" t="n"/>
      <c r="E282" s="793" t="n"/>
      <c r="F282" s="788" t="n"/>
      <c r="G282" s="793" t="n"/>
      <c r="H282" s="788" t="n"/>
      <c r="I282" s="793" t="n"/>
      <c r="J282" s="788" t="n"/>
      <c r="K282" s="793" t="n"/>
      <c r="L282" s="788" t="n"/>
      <c r="M282" s="793" t="n"/>
      <c r="N282" s="788" t="n"/>
    </row>
    <row r="283" ht="13.5" customHeight="1" s="614">
      <c r="A283" s="780" t="n"/>
      <c r="B283" s="800" t="inlineStr">
        <is>
          <t>1-2</t>
        </is>
      </c>
      <c r="C283" s="776" t="inlineStr">
        <is>
          <t>電流値</t>
        </is>
      </c>
      <c r="D283" s="777" t="inlineStr">
        <is>
          <t>Ａ</t>
        </is>
      </c>
      <c r="E283" s="778" t="n"/>
      <c r="F283" s="779" t="n"/>
      <c r="G283" s="778" t="n"/>
      <c r="H283" s="779" t="n"/>
      <c r="I283" s="778" t="n"/>
      <c r="J283" s="779" t="n"/>
      <c r="K283" s="778" t="n"/>
      <c r="L283" s="779" t="n"/>
      <c r="M283" s="778" t="n"/>
      <c r="N283" s="779" t="n"/>
    </row>
    <row r="284" ht="13.5" customHeight="1" s="614">
      <c r="A284" s="780" t="n"/>
      <c r="B284" s="780" t="n"/>
      <c r="C284" s="781">
        <f>C281</f>
        <v/>
      </c>
      <c r="D284" s="782" t="n"/>
      <c r="E284" s="783" t="n"/>
      <c r="F284" s="784" t="n"/>
      <c r="G284" s="783" t="n"/>
      <c r="H284" s="784" t="n"/>
      <c r="I284" s="783" t="n"/>
      <c r="J284" s="784" t="n"/>
      <c r="K284" s="783" t="n"/>
      <c r="L284" s="784" t="n"/>
      <c r="M284" s="783" t="n"/>
      <c r="N284" s="784" t="n"/>
    </row>
    <row r="285" ht="13.5" customHeight="1" s="614">
      <c r="A285" s="780" t="n"/>
      <c r="B285" s="769" t="n"/>
      <c r="C285" s="785">
        <f>C282</f>
        <v/>
      </c>
      <c r="D285" s="786" t="n"/>
      <c r="E285" s="793" t="n"/>
      <c r="F285" s="788" t="n"/>
      <c r="G285" s="793" t="n"/>
      <c r="H285" s="788" t="n"/>
      <c r="I285" s="793" t="n"/>
      <c r="J285" s="788" t="n"/>
      <c r="K285" s="793" t="n"/>
      <c r="L285" s="788" t="n"/>
      <c r="M285" s="793" t="n"/>
      <c r="N285" s="788" t="n"/>
    </row>
    <row r="286" ht="13.5" customHeight="1" s="614">
      <c r="A286" s="799" t="inlineStr">
        <is>
          <t>曝気ブロワー</t>
        </is>
      </c>
      <c r="B286" s="801" t="inlineStr">
        <is>
          <t>№１</t>
        </is>
      </c>
      <c r="C286" s="776" t="inlineStr">
        <is>
          <t>電流値</t>
        </is>
      </c>
      <c r="D286" s="777" t="inlineStr">
        <is>
          <t>Ａ</t>
        </is>
      </c>
      <c r="E286" s="833" t="n"/>
      <c r="F286" s="824" t="n"/>
      <c r="G286" s="833" t="n"/>
      <c r="H286" s="824" t="n"/>
      <c r="I286" s="833" t="n"/>
      <c r="J286" s="824" t="n"/>
      <c r="K286" s="833" t="n"/>
      <c r="L286" s="824" t="n"/>
      <c r="M286" s="833" t="n"/>
      <c r="N286" s="824" t="n"/>
      <c r="Q286" s="811" t="n"/>
    </row>
    <row r="287" ht="13.5" customHeight="1" s="614">
      <c r="A287" s="780" t="n"/>
      <c r="B287" s="780" t="n"/>
      <c r="C287" s="781">
        <f>C284</f>
        <v/>
      </c>
      <c r="D287" s="782" t="n"/>
      <c r="E287" s="798" t="n"/>
      <c r="F287" s="784" t="n"/>
      <c r="G287" s="798" t="n"/>
      <c r="H287" s="784" t="n"/>
      <c r="I287" s="798" t="n"/>
      <c r="J287" s="784" t="n"/>
      <c r="K287" s="798" t="n"/>
      <c r="L287" s="784" t="n"/>
      <c r="M287" s="783" t="n"/>
      <c r="N287" s="784" t="n"/>
      <c r="Q287" s="812" t="n"/>
    </row>
    <row r="288" ht="13.5" customHeight="1" s="614">
      <c r="A288" s="780" t="n"/>
      <c r="B288" s="769" t="n"/>
      <c r="C288" s="785">
        <f>C285</f>
        <v/>
      </c>
      <c r="D288" s="786" t="n"/>
      <c r="E288" s="847" t="n"/>
      <c r="F288" s="784" t="n"/>
      <c r="G288" s="847" t="n"/>
      <c r="H288" s="784" t="n"/>
      <c r="I288" s="847" t="n"/>
      <c r="J288" s="784" t="n"/>
      <c r="K288" s="847" t="n"/>
      <c r="L288" s="784" t="n"/>
      <c r="M288" s="847" t="n"/>
      <c r="N288" s="784" t="n"/>
      <c r="Q288" s="848" t="n"/>
    </row>
    <row r="289" ht="13.5" customHeight="1" s="614">
      <c r="A289" s="780" t="n"/>
      <c r="B289" s="801" t="inlineStr">
        <is>
          <t>№２</t>
        </is>
      </c>
      <c r="C289" s="776" t="inlineStr">
        <is>
          <t>電流値</t>
        </is>
      </c>
      <c r="D289" s="777" t="inlineStr">
        <is>
          <t>Ａ</t>
        </is>
      </c>
      <c r="E289" s="778" t="n"/>
      <c r="F289" s="779" t="n"/>
      <c r="G289" s="778" t="n"/>
      <c r="H289" s="779" t="n"/>
      <c r="I289" s="778" t="n"/>
      <c r="J289" s="779" t="n"/>
      <c r="K289" s="778" t="n"/>
      <c r="L289" s="779" t="n"/>
      <c r="M289" s="778" t="n"/>
      <c r="N289" s="779" t="n"/>
      <c r="Q289" s="811" t="n"/>
    </row>
    <row r="290" ht="13.5" customHeight="1" s="614">
      <c r="A290" s="780" t="n"/>
      <c r="B290" s="780" t="n"/>
      <c r="C290" s="781">
        <f>C287</f>
        <v/>
      </c>
      <c r="D290" s="782" t="n"/>
      <c r="E290" s="783" t="n"/>
      <c r="F290" s="784" t="n"/>
      <c r="G290" s="783" t="n"/>
      <c r="H290" s="784" t="n"/>
      <c r="I290" s="783" t="n"/>
      <c r="J290" s="784" t="n"/>
      <c r="K290" s="783" t="n"/>
      <c r="L290" s="784" t="n"/>
      <c r="M290" s="783" t="n"/>
      <c r="N290" s="784" t="n"/>
      <c r="Q290" s="813" t="n"/>
    </row>
    <row r="291" ht="13.5" customHeight="1" s="614">
      <c r="A291" s="780" t="n"/>
      <c r="B291" s="769" t="n"/>
      <c r="C291" s="785">
        <f>C288</f>
        <v/>
      </c>
      <c r="D291" s="786" t="n"/>
      <c r="E291" s="803" t="n"/>
      <c r="F291" s="788" t="n"/>
      <c r="G291" s="803" t="n"/>
      <c r="H291" s="788" t="n"/>
      <c r="I291" s="803" t="n"/>
      <c r="J291" s="788" t="n"/>
      <c r="K291" s="803" t="n"/>
      <c r="L291" s="788" t="n"/>
      <c r="M291" s="844" t="n"/>
      <c r="N291" s="788" t="n"/>
      <c r="Q291" s="811" t="n"/>
    </row>
    <row r="292" ht="13.5" customHeight="1" s="614">
      <c r="A292" s="772" t="inlineStr">
        <is>
          <t>消泡装置</t>
        </is>
      </c>
      <c r="B292" s="768" t="inlineStr">
        <is>
          <t>―</t>
        </is>
      </c>
      <c r="C292" s="776" t="inlineStr">
        <is>
          <t>消泡ノズル</t>
        </is>
      </c>
      <c r="D292" s="777" t="n"/>
      <c r="E292" s="797" t="n"/>
      <c r="F292" s="779" t="n"/>
      <c r="G292" s="797" t="n"/>
      <c r="H292" s="779" t="n"/>
      <c r="I292" s="797" t="n"/>
      <c r="J292" s="779" t="n"/>
      <c r="K292" s="797" t="n"/>
      <c r="L292" s="779" t="n"/>
      <c r="M292" s="797" t="n"/>
      <c r="N292" s="779" t="n"/>
    </row>
    <row r="293" ht="13.5" customHeight="1" s="614">
      <c r="A293" s="769" t="n"/>
      <c r="B293" s="769" t="n"/>
      <c r="C293" s="791" t="inlineStr">
        <is>
          <t>消泡状態</t>
        </is>
      </c>
      <c r="D293" s="792" t="n"/>
      <c r="E293" s="787" t="n"/>
      <c r="F293" s="788" t="n"/>
      <c r="G293" s="787" t="n"/>
      <c r="H293" s="788" t="n"/>
      <c r="I293" s="787" t="n"/>
      <c r="J293" s="788" t="n"/>
      <c r="K293" s="787" t="n"/>
      <c r="L293" s="788" t="n"/>
      <c r="M293" s="787" t="n"/>
      <c r="N293" s="788" t="n"/>
    </row>
    <row r="294" ht="13.5" customHeight="1" s="614">
      <c r="A294" s="799" t="inlineStr">
        <is>
          <t>ディッチ流出可動堰</t>
        </is>
      </c>
      <c r="B294" s="804" t="n">
        <v>1</v>
      </c>
      <c r="C294" s="776" t="inlineStr">
        <is>
          <t>開度</t>
        </is>
      </c>
      <c r="D294" s="777" t="inlineStr">
        <is>
          <t>㎜</t>
        </is>
      </c>
      <c r="E294" s="797" t="n"/>
      <c r="F294" s="779" t="n"/>
      <c r="G294" s="797" t="n"/>
      <c r="H294" s="779" t="n"/>
      <c r="I294" s="797" t="n"/>
      <c r="J294" s="779" t="n"/>
      <c r="K294" s="797" t="n"/>
      <c r="L294" s="779" t="n"/>
      <c r="M294" s="797" t="n"/>
      <c r="N294" s="779" t="n"/>
    </row>
    <row r="295" ht="13.5" customHeight="1" s="614">
      <c r="A295" s="799" t="inlineStr">
        <is>
          <t>ディッチ流出ゲート</t>
        </is>
      </c>
      <c r="B295" s="804" t="n">
        <v>1</v>
      </c>
      <c r="C295" s="776" t="inlineStr">
        <is>
          <t>開度</t>
        </is>
      </c>
      <c r="D295" s="777" t="inlineStr">
        <is>
          <t>㎜</t>
        </is>
      </c>
      <c r="E295" s="797" t="n"/>
      <c r="F295" s="779" t="n"/>
      <c r="G295" s="797" t="n"/>
      <c r="H295" s="779" t="n"/>
      <c r="I295" s="797" t="n"/>
      <c r="J295" s="779" t="n"/>
      <c r="K295" s="797" t="n"/>
      <c r="L295" s="779" t="n"/>
      <c r="M295" s="797" t="n"/>
      <c r="N295" s="779" t="n"/>
    </row>
    <row r="296" ht="13.5" customHeight="1" s="614">
      <c r="A296" s="772" t="inlineStr">
        <is>
          <t>ディッチ連絡ゲート</t>
        </is>
      </c>
      <c r="B296" s="767" t="inlineStr">
        <is>
          <t>－</t>
        </is>
      </c>
      <c r="C296" s="773" t="inlineStr">
        <is>
          <t>開度</t>
        </is>
      </c>
      <c r="D296" s="805" t="inlineStr">
        <is>
          <t>㎜</t>
        </is>
      </c>
      <c r="E296" s="775" t="n"/>
      <c r="F296" s="627" t="n"/>
      <c r="G296" s="775" t="n"/>
      <c r="H296" s="627" t="n"/>
      <c r="I296" s="775" t="n"/>
      <c r="J296" s="627" t="n"/>
      <c r="K296" s="775" t="n"/>
      <c r="L296" s="627" t="n"/>
      <c r="M296" s="775" t="n"/>
      <c r="N296" s="627" t="n"/>
    </row>
    <row r="297" ht="13.5" customHeight="1" s="614">
      <c r="A297" s="799" t="inlineStr">
        <is>
          <t>終沈汚泥掻寄機</t>
        </is>
      </c>
      <c r="B297" s="767" t="n">
        <v>1</v>
      </c>
      <c r="C297" s="776" t="inlineStr">
        <is>
          <t>電流値</t>
        </is>
      </c>
      <c r="D297" s="777" t="inlineStr">
        <is>
          <t>Ａ</t>
        </is>
      </c>
      <c r="E297" s="806" t="n"/>
      <c r="F297" s="779" t="n"/>
      <c r="G297" s="806" t="n"/>
      <c r="H297" s="779" t="n"/>
      <c r="I297" s="806" t="n"/>
      <c r="J297" s="779" t="n"/>
      <c r="K297" s="806" t="n"/>
      <c r="L297" s="779" t="n"/>
      <c r="M297" s="806" t="n"/>
      <c r="N297" s="779" t="n"/>
    </row>
    <row r="298" ht="13.5" customHeight="1" s="614">
      <c r="A298" s="780" t="n"/>
      <c r="B298" s="769" t="n"/>
      <c r="C298" s="791" t="inlineStr">
        <is>
          <t>異音、振動等</t>
        </is>
      </c>
      <c r="D298" s="792" t="n"/>
      <c r="E298" s="787" t="n"/>
      <c r="F298" s="788" t="n"/>
      <c r="G298" s="787" t="n"/>
      <c r="H298" s="788" t="n"/>
      <c r="I298" s="787" t="n"/>
      <c r="J298" s="788" t="n"/>
      <c r="K298" s="787" t="n"/>
      <c r="L298" s="788" t="n"/>
      <c r="M298" s="787" t="n"/>
      <c r="N298" s="788" t="n"/>
    </row>
    <row r="299" ht="13.5" customHeight="1" s="614">
      <c r="A299" s="772" t="inlineStr">
        <is>
          <t>スカムスキマー</t>
        </is>
      </c>
      <c r="B299" s="767" t="n">
        <v>1</v>
      </c>
      <c r="C299" s="776" t="inlineStr">
        <is>
          <t>動作状況</t>
        </is>
      </c>
      <c r="D299" s="777" t="n"/>
      <c r="E299" s="797" t="n"/>
      <c r="F299" s="779" t="n"/>
      <c r="G299" s="797" t="n"/>
      <c r="H299" s="779" t="n"/>
      <c r="I299" s="797" t="n"/>
      <c r="J299" s="779" t="n"/>
      <c r="K299" s="797" t="n"/>
      <c r="L299" s="779" t="n"/>
      <c r="M299" s="797" t="n"/>
      <c r="N299" s="779" t="n"/>
    </row>
    <row r="300" ht="13.5" customHeight="1" s="614">
      <c r="A300" s="769" t="n"/>
      <c r="B300" s="769" t="n"/>
      <c r="C300" s="791" t="inlineStr">
        <is>
          <t>スカムの状況</t>
        </is>
      </c>
      <c r="D300" s="792" t="n"/>
      <c r="E300" s="793" t="n"/>
      <c r="F300" s="788" t="n"/>
      <c r="G300" s="793" t="n"/>
      <c r="H300" s="788" t="n"/>
      <c r="I300" s="793" t="n"/>
      <c r="J300" s="788" t="n"/>
      <c r="K300" s="793" t="n"/>
      <c r="L300" s="788" t="n"/>
      <c r="M300" s="793" t="n"/>
      <c r="N300" s="788" t="n"/>
    </row>
    <row r="301" ht="13.5" customHeight="1" s="614">
      <c r="A301" s="807" t="inlineStr">
        <is>
          <t>返送汚泥ポンプ</t>
        </is>
      </c>
      <c r="B301" s="808" t="inlineStr">
        <is>
          <t>1-1</t>
        </is>
      </c>
      <c r="C301" s="809" t="inlineStr">
        <is>
          <t>電流値</t>
        </is>
      </c>
      <c r="D301" s="810" t="inlineStr">
        <is>
          <t>Ａ</t>
        </is>
      </c>
      <c r="E301" s="778" t="n"/>
      <c r="F301" s="779" t="n"/>
      <c r="G301" s="778" t="n"/>
      <c r="H301" s="779" t="n"/>
      <c r="I301" s="778" t="n"/>
      <c r="J301" s="779" t="n"/>
      <c r="K301" s="778" t="n"/>
      <c r="L301" s="779" t="n"/>
      <c r="M301" s="778" t="n"/>
      <c r="N301" s="779" t="n"/>
      <c r="Q301" s="811" t="n"/>
    </row>
    <row r="302" ht="13.5" customHeight="1" s="614">
      <c r="A302" s="780" t="n"/>
      <c r="B302" s="780" t="n"/>
      <c r="C302" s="781" t="inlineStr">
        <is>
          <t>吐出圧力</t>
        </is>
      </c>
      <c r="D302" s="782" t="inlineStr">
        <is>
          <t>Mpa</t>
        </is>
      </c>
      <c r="E302" s="783" t="n"/>
      <c r="F302" s="784" t="n"/>
      <c r="G302" s="783" t="n"/>
      <c r="H302" s="784" t="n"/>
      <c r="I302" s="783" t="n"/>
      <c r="J302" s="784" t="n"/>
      <c r="K302" s="783" t="n"/>
      <c r="L302" s="784" t="n"/>
      <c r="M302" s="783" t="n"/>
      <c r="N302" s="784" t="n"/>
      <c r="Q302" s="812" t="n"/>
    </row>
    <row r="303" ht="13.5" customHeight="1" s="614">
      <c r="A303" s="780" t="n"/>
      <c r="B303" s="769" t="n"/>
      <c r="C303" s="785" t="inlineStr">
        <is>
          <t>異音、振動</t>
        </is>
      </c>
      <c r="D303" s="786" t="n"/>
      <c r="E303" s="793" t="n"/>
      <c r="F303" s="788" t="n"/>
      <c r="G303" s="793" t="n"/>
      <c r="H303" s="788" t="n"/>
      <c r="I303" s="793" t="n"/>
      <c r="J303" s="788" t="n"/>
      <c r="K303" s="793" t="n"/>
      <c r="L303" s="788" t="n"/>
      <c r="M303" s="787" t="n"/>
      <c r="N303" s="788" t="n"/>
      <c r="Q303" s="812" t="n"/>
    </row>
    <row r="304" ht="13.5" customHeight="1" s="614">
      <c r="A304" s="780" t="n"/>
      <c r="B304" s="800" t="inlineStr">
        <is>
          <t>1-2</t>
        </is>
      </c>
      <c r="C304" s="776" t="inlineStr">
        <is>
          <t>電流値</t>
        </is>
      </c>
      <c r="D304" s="777" t="inlineStr">
        <is>
          <t>Ａ</t>
        </is>
      </c>
      <c r="E304" s="833" t="n"/>
      <c r="F304" s="824" t="n"/>
      <c r="G304" s="833" t="n"/>
      <c r="H304" s="824" t="n"/>
      <c r="I304" s="833" t="n"/>
      <c r="J304" s="824" t="n"/>
      <c r="K304" s="833" t="n"/>
      <c r="L304" s="824" t="n"/>
      <c r="M304" s="833" t="n"/>
      <c r="N304" s="824" t="n"/>
    </row>
    <row r="305" ht="13.5" customHeight="1" s="614">
      <c r="A305" s="780" t="n"/>
      <c r="B305" s="780" t="n"/>
      <c r="C305" s="781">
        <f>C302</f>
        <v/>
      </c>
      <c r="D305" s="782" t="inlineStr">
        <is>
          <t>Mpa</t>
        </is>
      </c>
      <c r="E305" s="783" t="n"/>
      <c r="F305" s="784" t="n"/>
      <c r="G305" s="783" t="n"/>
      <c r="H305" s="784" t="n"/>
      <c r="I305" s="783" t="n"/>
      <c r="J305" s="784" t="n"/>
      <c r="K305" s="783" t="n"/>
      <c r="L305" s="784" t="n"/>
      <c r="M305" s="783" t="n"/>
      <c r="N305" s="784" t="n"/>
    </row>
    <row r="306" ht="13.5" customHeight="1" s="614">
      <c r="A306" s="780" t="n"/>
      <c r="B306" s="769" t="n"/>
      <c r="C306" s="785" t="inlineStr">
        <is>
          <t>異音、振動</t>
        </is>
      </c>
      <c r="D306" s="786" t="n"/>
      <c r="E306" s="787" t="n"/>
      <c r="F306" s="788" t="n"/>
      <c r="G306" s="787" t="n"/>
      <c r="H306" s="788" t="n"/>
      <c r="I306" s="787" t="n"/>
      <c r="J306" s="788" t="n"/>
      <c r="K306" s="787" t="n"/>
      <c r="L306" s="788" t="n"/>
      <c r="M306" s="787" t="n"/>
      <c r="N306" s="788" t="n"/>
    </row>
    <row r="307" ht="13.5" customHeight="1" s="614">
      <c r="A307" s="780" t="n"/>
      <c r="B307" s="800" t="inlineStr">
        <is>
          <t>―</t>
        </is>
      </c>
      <c r="C307" s="776" t="inlineStr">
        <is>
          <t>モード確認</t>
        </is>
      </c>
      <c r="D307" s="777" t="n"/>
      <c r="E307" s="789" t="n"/>
      <c r="F307" s="779" t="n"/>
      <c r="G307" s="789" t="n"/>
      <c r="H307" s="779" t="n"/>
      <c r="I307" s="789" t="n"/>
      <c r="J307" s="779" t="n"/>
      <c r="K307" s="789" t="n"/>
      <c r="L307" s="779" t="n"/>
      <c r="M307" s="789" t="n"/>
      <c r="N307" s="779" t="n"/>
    </row>
    <row r="308" ht="13.5" customHeight="1" s="614">
      <c r="A308" s="780" t="n"/>
      <c r="B308" s="769" t="n"/>
      <c r="C308" s="791" t="inlineStr">
        <is>
          <t>常用機選択</t>
        </is>
      </c>
      <c r="D308" s="792" t="n"/>
      <c r="E308" s="793" t="n"/>
      <c r="F308" s="788" t="n"/>
      <c r="G308" s="793" t="n"/>
      <c r="H308" s="788" t="n"/>
      <c r="I308" s="793" t="n"/>
      <c r="J308" s="788" t="n"/>
      <c r="K308" s="793" t="n"/>
      <c r="L308" s="788" t="n"/>
      <c r="M308" s="793" t="n"/>
      <c r="N308" s="788" t="n"/>
      <c r="P308" s="814" t="n"/>
      <c r="Q308" s="814" t="n"/>
      <c r="R308" s="712" t="n"/>
      <c r="S308" s="712" t="n"/>
    </row>
    <row r="309" ht="13.5" customHeight="1" s="614">
      <c r="A309" s="799" t="inlineStr">
        <is>
          <t>余剰汚泥ポンプ</t>
        </is>
      </c>
      <c r="B309" s="768" t="n">
        <v>1</v>
      </c>
      <c r="C309" s="776" t="inlineStr">
        <is>
          <t>電流値</t>
        </is>
      </c>
      <c r="D309" s="777" t="inlineStr">
        <is>
          <t>Ａ</t>
        </is>
      </c>
      <c r="E309" s="778" t="n"/>
      <c r="F309" s="779" t="n"/>
      <c r="G309" s="778" t="n"/>
      <c r="H309" s="779" t="n"/>
      <c r="I309" s="778" t="n"/>
      <c r="J309" s="779" t="n"/>
      <c r="K309" s="778" t="n"/>
      <c r="L309" s="779" t="n"/>
      <c r="M309" s="778" t="n"/>
      <c r="N309" s="779" t="n"/>
    </row>
    <row r="310" ht="13.5" customHeight="1" s="614">
      <c r="A310" s="780" t="n"/>
      <c r="B310" s="780" t="n"/>
      <c r="C310" s="781">
        <f>C305</f>
        <v/>
      </c>
      <c r="D310" s="782" t="inlineStr">
        <is>
          <t>Mpa</t>
        </is>
      </c>
      <c r="E310" s="815" t="n"/>
      <c r="F310" s="784" t="n"/>
      <c r="G310" s="815" t="n"/>
      <c r="H310" s="784" t="n"/>
      <c r="I310" s="815" t="n"/>
      <c r="J310" s="784" t="n"/>
      <c r="K310" s="815" t="n"/>
      <c r="L310" s="784" t="n"/>
      <c r="M310" s="815" t="n"/>
      <c r="N310" s="784" t="n"/>
    </row>
    <row r="311" ht="13.5" customHeight="1" s="614">
      <c r="A311" s="780" t="n"/>
      <c r="B311" s="780" t="n"/>
      <c r="C311" s="809" t="inlineStr">
        <is>
          <t>異音、振動</t>
        </is>
      </c>
      <c r="D311" s="810" t="n"/>
      <c r="E311" s="816" t="n"/>
      <c r="F311" s="784" t="n"/>
      <c r="G311" s="816" t="n"/>
      <c r="H311" s="784" t="n"/>
      <c r="I311" s="816" t="n"/>
      <c r="J311" s="784" t="n"/>
      <c r="K311" s="815" t="n"/>
      <c r="L311" s="784" t="n"/>
      <c r="M311" s="815" t="n"/>
      <c r="N311" s="784" t="n"/>
    </row>
    <row r="312" ht="13.5" customHeight="1" s="614">
      <c r="A312" s="780" t="n"/>
      <c r="B312" s="780" t="n"/>
      <c r="C312" s="781" t="inlineStr">
        <is>
          <t>液漏れ</t>
        </is>
      </c>
      <c r="D312" s="782" t="n"/>
      <c r="E312" s="816" t="n"/>
      <c r="F312" s="784" t="n"/>
      <c r="G312" s="816" t="n"/>
      <c r="H312" s="784" t="n"/>
      <c r="I312" s="816" t="n"/>
      <c r="J312" s="784" t="n"/>
      <c r="K312" s="816" t="n"/>
      <c r="L312" s="784" t="n"/>
      <c r="M312" s="816" t="n"/>
      <c r="N312" s="784" t="n"/>
    </row>
    <row r="313" ht="13.5" customHeight="1" s="614">
      <c r="A313" s="780" t="n"/>
      <c r="B313" s="769" t="n"/>
      <c r="C313" s="785" t="inlineStr">
        <is>
          <t>モード確認</t>
        </is>
      </c>
      <c r="D313" s="786" t="n"/>
      <c r="E313" s="817" t="n"/>
      <c r="F313" s="788" t="n"/>
      <c r="G313" s="817" t="n"/>
      <c r="H313" s="788" t="n"/>
      <c r="I313" s="817" t="n"/>
      <c r="J313" s="788" t="n"/>
      <c r="K313" s="817" t="n"/>
      <c r="L313" s="788" t="n"/>
      <c r="M313" s="817" t="n"/>
      <c r="N313" s="788" t="n"/>
    </row>
    <row r="314" ht="13.5" customHeight="1" s="614">
      <c r="A314" s="818" t="inlineStr">
        <is>
          <t>床排水ポンプ</t>
        </is>
      </c>
      <c r="B314" s="768" t="n">
        <v>1</v>
      </c>
      <c r="C314" s="776" t="inlineStr">
        <is>
          <t>電流値</t>
        </is>
      </c>
      <c r="D314" s="777" t="inlineStr">
        <is>
          <t>Ａ</t>
        </is>
      </c>
      <c r="E314" s="778" t="n"/>
      <c r="F314" s="779" t="n"/>
      <c r="G314" s="778" t="n"/>
      <c r="H314" s="779" t="n"/>
      <c r="I314" s="778" t="n"/>
      <c r="J314" s="779" t="n"/>
      <c r="K314" s="778" t="n"/>
      <c r="L314" s="779" t="n"/>
      <c r="M314" s="778" t="n"/>
      <c r="N314" s="779" t="n"/>
    </row>
    <row r="315" ht="13.5" customHeight="1" s="614">
      <c r="A315" s="780" t="n"/>
      <c r="B315" s="780" t="n"/>
      <c r="C315" s="781" t="inlineStr">
        <is>
          <t>吐出圧力</t>
        </is>
      </c>
      <c r="D315" s="782" t="inlineStr">
        <is>
          <t>Mpa</t>
        </is>
      </c>
      <c r="E315" s="783" t="n"/>
      <c r="F315" s="784" t="n"/>
      <c r="G315" s="783" t="n"/>
      <c r="H315" s="784" t="n"/>
      <c r="I315" s="783" t="n"/>
      <c r="J315" s="784" t="n"/>
      <c r="K315" s="783" t="n"/>
      <c r="L315" s="784" t="n"/>
      <c r="M315" s="783" t="n"/>
      <c r="N315" s="784" t="n"/>
    </row>
    <row r="316" ht="13.5" customHeight="1" s="614">
      <c r="A316" s="780" t="n"/>
      <c r="B316" s="769" t="n"/>
      <c r="C316" s="785" t="inlineStr">
        <is>
          <t>異音、振動</t>
        </is>
      </c>
      <c r="D316" s="819" t="n"/>
      <c r="E316" s="793" t="n"/>
      <c r="F316" s="788" t="n"/>
      <c r="G316" s="793" t="n"/>
      <c r="H316" s="788" t="n"/>
      <c r="I316" s="793" t="n"/>
      <c r="J316" s="788" t="n"/>
      <c r="K316" s="793" t="n"/>
      <c r="L316" s="788" t="n"/>
      <c r="M316" s="787" t="n"/>
      <c r="N316" s="788" t="n"/>
    </row>
    <row r="317" ht="13.5" customHeight="1" s="614">
      <c r="A317" s="780" t="n"/>
      <c r="B317" s="768" t="n">
        <v>2</v>
      </c>
      <c r="C317" s="776" t="inlineStr">
        <is>
          <t>電流値</t>
        </is>
      </c>
      <c r="D317" s="777" t="inlineStr">
        <is>
          <t>Ａ</t>
        </is>
      </c>
      <c r="E317" s="833" t="n"/>
      <c r="F317" s="824" t="n"/>
      <c r="G317" s="833" t="n"/>
      <c r="H317" s="824" t="n"/>
      <c r="I317" s="833" t="n"/>
      <c r="J317" s="824" t="n"/>
      <c r="K317" s="833" t="n"/>
      <c r="L317" s="824" t="n"/>
      <c r="M317" s="833" t="n"/>
      <c r="N317" s="824" t="n"/>
    </row>
    <row r="318" ht="13.5" customHeight="1" s="614">
      <c r="A318" s="780" t="n"/>
      <c r="B318" s="780" t="n"/>
      <c r="C318" s="781" t="inlineStr">
        <is>
          <t>吐出圧力</t>
        </is>
      </c>
      <c r="D318" s="782" t="inlineStr">
        <is>
          <t>Mpa</t>
        </is>
      </c>
      <c r="E318" s="783" t="n"/>
      <c r="F318" s="784" t="n"/>
      <c r="G318" s="783" t="n"/>
      <c r="H318" s="784" t="n"/>
      <c r="I318" s="783" t="n"/>
      <c r="J318" s="784" t="n"/>
      <c r="K318" s="783" t="n"/>
      <c r="L318" s="784" t="n"/>
      <c r="M318" s="783" t="n"/>
      <c r="N318" s="784" t="n"/>
    </row>
    <row r="319" ht="13.5" customHeight="1" s="614">
      <c r="A319" s="780" t="n"/>
      <c r="B319" s="769" t="n"/>
      <c r="C319" s="785" t="inlineStr">
        <is>
          <t>異音、振動</t>
        </is>
      </c>
      <c r="D319" s="819" t="n"/>
      <c r="E319" s="793" t="n"/>
      <c r="F319" s="788" t="n"/>
      <c r="G319" s="793" t="n"/>
      <c r="H319" s="788" t="n"/>
      <c r="I319" s="793" t="n"/>
      <c r="J319" s="788" t="n"/>
      <c r="K319" s="793" t="n"/>
      <c r="L319" s="788" t="n"/>
      <c r="M319" s="787" t="n"/>
      <c r="N319" s="788" t="n"/>
    </row>
    <row r="320" ht="13.5" customHeight="1" s="614">
      <c r="A320" s="780" t="n"/>
      <c r="B320" s="800" t="inlineStr">
        <is>
          <t>―</t>
        </is>
      </c>
      <c r="C320" s="776" t="inlineStr">
        <is>
          <t>モード確認</t>
        </is>
      </c>
      <c r="D320" s="777" t="n"/>
      <c r="E320" s="789" t="n"/>
      <c r="F320" s="779" t="n"/>
      <c r="G320" s="789" t="n"/>
      <c r="H320" s="779" t="n"/>
      <c r="I320" s="789" t="n"/>
      <c r="J320" s="779" t="n"/>
      <c r="K320" s="789" t="n"/>
      <c r="L320" s="779" t="n"/>
      <c r="M320" s="789" t="n"/>
      <c r="N320" s="779" t="n"/>
    </row>
    <row r="321" ht="13.5" customHeight="1" s="614">
      <c r="A321" s="769" t="n"/>
      <c r="B321" s="769" t="n"/>
      <c r="C321" s="791" t="inlineStr">
        <is>
          <t>常用機選択</t>
        </is>
      </c>
      <c r="D321" s="792" t="n"/>
      <c r="E321" s="793" t="n"/>
      <c r="F321" s="788" t="n"/>
      <c r="G321" s="793" t="n"/>
      <c r="H321" s="788" t="n"/>
      <c r="I321" s="793" t="n"/>
      <c r="J321" s="788" t="n"/>
      <c r="K321" s="793" t="n"/>
      <c r="L321" s="788" t="n"/>
      <c r="M321" s="793" t="n"/>
      <c r="N321" s="788" t="n"/>
      <c r="P321" s="814" t="n"/>
      <c r="Q321" s="814" t="n"/>
      <c r="R321" s="712" t="n"/>
      <c r="S321" s="712" t="n"/>
    </row>
    <row r="322" ht="13.5" customHeight="1" s="614">
      <c r="A322" s="772" t="inlineStr">
        <is>
          <t>返流水ポンプ</t>
        </is>
      </c>
      <c r="B322" s="800" t="inlineStr">
        <is>
          <t>1</t>
        </is>
      </c>
      <c r="C322" s="776" t="inlineStr">
        <is>
          <t>電流値</t>
        </is>
      </c>
      <c r="D322" s="777" t="inlineStr">
        <is>
          <t>Ａ</t>
        </is>
      </c>
      <c r="E322" s="778" t="n"/>
      <c r="F322" s="779" t="n"/>
      <c r="G322" s="778" t="n"/>
      <c r="H322" s="779" t="n"/>
      <c r="I322" s="778" t="n"/>
      <c r="J322" s="779" t="n"/>
      <c r="K322" s="778" t="n"/>
      <c r="L322" s="779" t="n"/>
      <c r="M322" s="778" t="n"/>
      <c r="N322" s="779" t="n"/>
    </row>
    <row r="323" ht="13.5" customHeight="1" s="614">
      <c r="A323" s="780" t="n"/>
      <c r="B323" s="780" t="n"/>
      <c r="C323" s="781" t="inlineStr">
        <is>
          <t>吐出圧力</t>
        </is>
      </c>
      <c r="D323" s="782" t="inlineStr">
        <is>
          <t>Mpa</t>
        </is>
      </c>
      <c r="E323" s="783" t="n"/>
      <c r="F323" s="784" t="n"/>
      <c r="G323" s="783" t="n"/>
      <c r="H323" s="784" t="n"/>
      <c r="I323" s="783" t="n"/>
      <c r="J323" s="784" t="n"/>
      <c r="K323" s="783" t="n"/>
      <c r="L323" s="784" t="n"/>
      <c r="M323" s="783" t="n"/>
      <c r="N323" s="784" t="n"/>
    </row>
    <row r="324" ht="13.5" customHeight="1" s="614">
      <c r="A324" s="780" t="n"/>
      <c r="B324" s="769" t="n"/>
      <c r="C324" s="785" t="inlineStr">
        <is>
          <t>異音、振動</t>
        </is>
      </c>
      <c r="D324" s="786" t="n"/>
      <c r="E324" s="787" t="n"/>
      <c r="F324" s="788" t="n"/>
      <c r="G324" s="787" t="n"/>
      <c r="H324" s="788" t="n"/>
      <c r="I324" s="787" t="n"/>
      <c r="J324" s="788" t="n"/>
      <c r="K324" s="787" t="n"/>
      <c r="L324" s="788" t="n"/>
      <c r="M324" s="787" t="n"/>
      <c r="N324" s="788" t="n"/>
    </row>
    <row r="325" ht="13.5" customHeight="1" s="614">
      <c r="A325" s="780" t="n"/>
      <c r="B325" s="800" t="inlineStr">
        <is>
          <t>2</t>
        </is>
      </c>
      <c r="C325" s="776" t="inlineStr">
        <is>
          <t>電流値</t>
        </is>
      </c>
      <c r="D325" s="777" t="inlineStr">
        <is>
          <t>Ａ</t>
        </is>
      </c>
      <c r="E325" s="778" t="n"/>
      <c r="F325" s="779" t="n"/>
      <c r="G325" s="778" t="n"/>
      <c r="H325" s="779" t="n"/>
      <c r="I325" s="778" t="n"/>
      <c r="J325" s="779" t="n"/>
      <c r="K325" s="778" t="n"/>
      <c r="L325" s="779" t="n"/>
      <c r="M325" s="778" t="n"/>
      <c r="N325" s="779" t="n"/>
    </row>
    <row r="326" ht="13.5" customHeight="1" s="614">
      <c r="A326" s="780" t="n"/>
      <c r="B326" s="780" t="n"/>
      <c r="C326" s="781">
        <f>C323</f>
        <v/>
      </c>
      <c r="D326" s="782" t="inlineStr">
        <is>
          <t>Mpa</t>
        </is>
      </c>
      <c r="E326" s="783" t="n"/>
      <c r="F326" s="784" t="n"/>
      <c r="G326" s="783" t="n"/>
      <c r="H326" s="784" t="n"/>
      <c r="I326" s="783" t="n"/>
      <c r="J326" s="784" t="n"/>
      <c r="K326" s="783" t="n"/>
      <c r="L326" s="784" t="n"/>
      <c r="M326" s="783" t="n"/>
      <c r="N326" s="784" t="n"/>
    </row>
    <row r="327" ht="13.5" customHeight="1" s="614">
      <c r="A327" s="780" t="n"/>
      <c r="B327" s="769" t="n"/>
      <c r="C327" s="785" t="inlineStr">
        <is>
          <t>異音、振動</t>
        </is>
      </c>
      <c r="D327" s="786" t="n"/>
      <c r="E327" s="787" t="n"/>
      <c r="F327" s="788" t="n"/>
      <c r="G327" s="787" t="n"/>
      <c r="H327" s="788" t="n"/>
      <c r="I327" s="787" t="n"/>
      <c r="J327" s="788" t="n"/>
      <c r="K327" s="787" t="n"/>
      <c r="L327" s="788" t="n"/>
      <c r="M327" s="787" t="n"/>
      <c r="N327" s="788" t="n"/>
    </row>
    <row r="328" ht="13.5" customHeight="1" s="614">
      <c r="A328" s="780" t="n"/>
      <c r="B328" s="800" t="inlineStr">
        <is>
          <t>―</t>
        </is>
      </c>
      <c r="C328" s="776" t="inlineStr">
        <is>
          <t>モード確認</t>
        </is>
      </c>
      <c r="D328" s="777" t="n"/>
      <c r="E328" s="789" t="n"/>
      <c r="F328" s="779" t="n"/>
      <c r="G328" s="789" t="n"/>
      <c r="H328" s="779" t="n"/>
      <c r="I328" s="789" t="n"/>
      <c r="J328" s="779" t="n"/>
      <c r="K328" s="789" t="n"/>
      <c r="L328" s="779" t="n"/>
      <c r="M328" s="789" t="n"/>
      <c r="N328" s="779" t="n"/>
    </row>
    <row r="329" ht="13.5" customHeight="1" s="614">
      <c r="A329" s="769" t="n"/>
      <c r="B329" s="769" t="n"/>
      <c r="C329" s="791" t="inlineStr">
        <is>
          <t>常用機選択</t>
        </is>
      </c>
      <c r="D329" s="792" t="n"/>
      <c r="E329" s="793" t="n"/>
      <c r="F329" s="788" t="n"/>
      <c r="G329" s="793" t="n"/>
      <c r="H329" s="788" t="n"/>
      <c r="I329" s="793" t="n"/>
      <c r="J329" s="788" t="n"/>
      <c r="K329" s="793" t="n"/>
      <c r="L329" s="788" t="n"/>
      <c r="M329" s="793" t="n"/>
      <c r="N329" s="788" t="n"/>
    </row>
    <row r="330" ht="13.5" customHeight="1" s="614">
      <c r="A330" s="849" t="inlineStr">
        <is>
          <t xml:space="preserve">　○：良　　△：要注意　　×：要修理</t>
        </is>
      </c>
      <c r="B330" s="639" t="n"/>
      <c r="C330" s="639" t="n"/>
      <c r="D330" s="639" t="n"/>
      <c r="E330" s="639" t="n"/>
      <c r="F330" s="639" t="n"/>
      <c r="G330" s="639" t="n"/>
      <c r="H330" s="639" t="n"/>
      <c r="I330" s="639" t="n"/>
      <c r="J330" s="639" t="n"/>
      <c r="K330" s="639" t="n"/>
      <c r="L330" s="639" t="n"/>
      <c r="M330" s="639" t="n"/>
      <c r="N330" s="639" t="n"/>
    </row>
    <row r="331" ht="21" customHeight="1" s="614">
      <c r="A331" s="764" t="inlineStr">
        <is>
          <t>機械設備日常点検表（２/２）</t>
        </is>
      </c>
      <c r="B331" s="674" t="n"/>
      <c r="C331" s="765" t="n"/>
      <c r="D331" s="674" t="n"/>
      <c r="E331" s="674" t="n"/>
      <c r="F331" s="674" t="n"/>
      <c r="G331" s="674" t="n"/>
      <c r="H331" s="674" t="n"/>
      <c r="I331" s="674" t="n"/>
      <c r="J331" s="674" t="n"/>
      <c r="K331" s="765">
        <f>K265</f>
        <v/>
      </c>
      <c r="L331" s="765" t="n"/>
      <c r="M331" s="765" t="n"/>
      <c r="N331" s="674" t="n"/>
    </row>
    <row r="332" ht="13.5" customHeight="1" s="614">
      <c r="A332" s="821" t="inlineStr">
        <is>
          <t>機　器　名</t>
        </is>
      </c>
      <c r="B332" s="768" t="inlineStr">
        <is>
          <t>No</t>
        </is>
      </c>
      <c r="C332" s="767" t="inlineStr">
        <is>
          <t>点 検 者</t>
        </is>
      </c>
      <c r="D332" s="627" t="n"/>
      <c r="E332" s="843" t="n"/>
      <c r="F332" s="626" t="n"/>
      <c r="G332" s="843" t="n"/>
      <c r="H332" s="626" t="n"/>
      <c r="I332" s="843" t="n"/>
      <c r="J332" s="626" t="n"/>
      <c r="K332" s="843" t="n"/>
      <c r="L332" s="626" t="n"/>
      <c r="M332" s="767" t="n"/>
      <c r="N332" s="627" t="n"/>
    </row>
    <row r="333" ht="13.5" customHeight="1" s="614">
      <c r="A333" s="769" t="n"/>
      <c r="B333" s="769" t="n"/>
      <c r="C333" s="770" t="inlineStr">
        <is>
          <t>点検内容</t>
        </is>
      </c>
      <c r="D333" s="627" t="n"/>
      <c r="E333" s="771" t="n"/>
      <c r="F333" s="627" t="n"/>
      <c r="G333" s="771" t="n"/>
      <c r="H333" s="627" t="n"/>
      <c r="I333" s="771" t="n"/>
      <c r="J333" s="627" t="n"/>
      <c r="K333" s="771" t="n"/>
      <c r="L333" s="627" t="n"/>
      <c r="M333" s="771" t="n"/>
      <c r="N333" s="627" t="n"/>
    </row>
    <row r="334" ht="13.5" customHeight="1" s="614">
      <c r="A334" s="822" t="inlineStr">
        <is>
          <t>濃縮汚泥引抜ポンプ</t>
        </is>
      </c>
      <c r="B334" s="768" t="n">
        <v>1</v>
      </c>
      <c r="C334" s="809" t="inlineStr">
        <is>
          <t>電流値</t>
        </is>
      </c>
      <c r="D334" s="810" t="inlineStr">
        <is>
          <t>Ａ</t>
        </is>
      </c>
      <c r="E334" s="846" t="n"/>
      <c r="F334" s="779" t="n"/>
      <c r="G334" s="846" t="n"/>
      <c r="H334" s="779" t="n"/>
      <c r="I334" s="846" t="n"/>
      <c r="J334" s="779" t="n"/>
      <c r="K334" s="846" t="n"/>
      <c r="L334" s="779" t="n"/>
      <c r="M334" s="846" t="n"/>
      <c r="N334" s="779" t="n"/>
    </row>
    <row r="335" ht="13.5" customHeight="1" s="614">
      <c r="A335" s="780" t="n"/>
      <c r="B335" s="780" t="n"/>
      <c r="C335" s="781" t="inlineStr">
        <is>
          <t>吐出圧力</t>
        </is>
      </c>
      <c r="D335" s="782" t="inlineStr">
        <is>
          <t>Mpa</t>
        </is>
      </c>
      <c r="E335" s="783" t="n"/>
      <c r="F335" s="784" t="n"/>
      <c r="G335" s="783" t="n"/>
      <c r="H335" s="784" t="n"/>
      <c r="I335" s="783" t="n"/>
      <c r="J335" s="784" t="n"/>
      <c r="K335" s="783" t="n"/>
      <c r="L335" s="784" t="n"/>
      <c r="M335" s="783" t="n"/>
      <c r="N335" s="784" t="n"/>
    </row>
    <row r="336" ht="13.5" customHeight="1" s="614">
      <c r="A336" s="780" t="n"/>
      <c r="B336" s="769" t="n"/>
      <c r="C336" s="785" t="inlineStr">
        <is>
          <t>異音、振動</t>
        </is>
      </c>
      <c r="D336" s="786" t="n"/>
      <c r="E336" s="793" t="n"/>
      <c r="F336" s="788" t="n"/>
      <c r="G336" s="793" t="n"/>
      <c r="H336" s="788" t="n"/>
      <c r="I336" s="793" t="n"/>
      <c r="J336" s="788" t="n"/>
      <c r="K336" s="787" t="n"/>
      <c r="L336" s="788" t="n"/>
      <c r="M336" s="787" t="n"/>
      <c r="N336" s="788" t="n"/>
    </row>
    <row r="337" ht="13.5" customHeight="1" s="614">
      <c r="A337" s="780" t="n"/>
      <c r="B337" s="768" t="n">
        <v>2</v>
      </c>
      <c r="C337" s="776" t="inlineStr">
        <is>
          <t>電流値</t>
        </is>
      </c>
      <c r="D337" s="777" t="inlineStr">
        <is>
          <t>Ａ</t>
        </is>
      </c>
      <c r="E337" s="830" t="n"/>
      <c r="F337" s="824" t="n"/>
      <c r="G337" s="830" t="n"/>
      <c r="H337" s="824" t="n"/>
      <c r="I337" s="830" t="n"/>
      <c r="J337" s="824" t="n"/>
      <c r="K337" s="830" t="n"/>
      <c r="L337" s="824" t="n"/>
      <c r="M337" s="830" t="n"/>
      <c r="N337" s="824" t="n"/>
    </row>
    <row r="338" ht="13.5" customHeight="1" s="614">
      <c r="A338" s="780" t="n"/>
      <c r="B338" s="780" t="n"/>
      <c r="C338" s="781" t="inlineStr">
        <is>
          <t>吐出圧力</t>
        </is>
      </c>
      <c r="D338" s="782" t="inlineStr">
        <is>
          <t>Mpa</t>
        </is>
      </c>
      <c r="E338" s="783" t="n"/>
      <c r="F338" s="784" t="n"/>
      <c r="G338" s="783" t="n"/>
      <c r="H338" s="784" t="n"/>
      <c r="I338" s="783" t="n"/>
      <c r="J338" s="784" t="n"/>
      <c r="K338" s="783" t="n"/>
      <c r="L338" s="784" t="n"/>
      <c r="M338" s="783" t="n"/>
      <c r="N338" s="784" t="n"/>
    </row>
    <row r="339" ht="13.5" customHeight="1" s="614">
      <c r="A339" s="780" t="n"/>
      <c r="B339" s="769" t="n"/>
      <c r="C339" s="785" t="inlineStr">
        <is>
          <t>異音、振動</t>
        </is>
      </c>
      <c r="D339" s="786" t="n"/>
      <c r="E339" s="793" t="n"/>
      <c r="F339" s="788" t="n"/>
      <c r="G339" s="793" t="n"/>
      <c r="H339" s="788" t="n"/>
      <c r="I339" s="793" t="n"/>
      <c r="J339" s="788" t="n"/>
      <c r="K339" s="793" t="n"/>
      <c r="L339" s="788" t="n"/>
      <c r="M339" s="787" t="n"/>
      <c r="N339" s="788" t="n"/>
    </row>
    <row r="340" ht="13.5" customHeight="1" s="614">
      <c r="A340" s="780" t="n"/>
      <c r="B340" s="768" t="inlineStr">
        <is>
          <t>―</t>
        </is>
      </c>
      <c r="C340" s="776" t="inlineStr">
        <is>
          <t>モード確認</t>
        </is>
      </c>
      <c r="D340" s="777" t="n"/>
      <c r="E340" s="823" t="n"/>
      <c r="F340" s="824" t="n"/>
      <c r="G340" s="823" t="n"/>
      <c r="H340" s="824" t="n"/>
      <c r="I340" s="823" t="n"/>
      <c r="J340" s="824" t="n"/>
      <c r="K340" s="823" t="n"/>
      <c r="L340" s="824" t="n"/>
      <c r="M340" s="823" t="n"/>
      <c r="N340" s="824" t="n"/>
    </row>
    <row r="341" ht="13.5" customHeight="1" s="614">
      <c r="A341" s="769" t="n"/>
      <c r="B341" s="769" t="n"/>
      <c r="C341" s="791" t="inlineStr">
        <is>
          <t>常用機選択</t>
        </is>
      </c>
      <c r="D341" s="792" t="n"/>
      <c r="E341" s="793" t="n"/>
      <c r="F341" s="788" t="n"/>
      <c r="G341" s="793" t="n"/>
      <c r="H341" s="788" t="n"/>
      <c r="I341" s="793" t="n"/>
      <c r="J341" s="788" t="n"/>
      <c r="K341" s="793" t="n"/>
      <c r="L341" s="788" t="n"/>
      <c r="M341" s="793" t="n"/>
      <c r="N341" s="788" t="n"/>
    </row>
    <row r="342" ht="13.5" customHeight="1" s="614">
      <c r="A342" s="772" t="inlineStr">
        <is>
          <t>濃縮汚泥掻寄機</t>
        </is>
      </c>
      <c r="B342" s="768" t="inlineStr">
        <is>
          <t>―</t>
        </is>
      </c>
      <c r="C342" s="825" t="inlineStr">
        <is>
          <t>電流値</t>
        </is>
      </c>
      <c r="D342" s="777" t="inlineStr">
        <is>
          <t>Ａ</t>
        </is>
      </c>
      <c r="E342" s="826" t="n"/>
      <c r="F342" s="824" t="n"/>
      <c r="G342" s="826" t="n"/>
      <c r="H342" s="824" t="n"/>
      <c r="I342" s="826" t="n"/>
      <c r="J342" s="824" t="n"/>
      <c r="K342" s="826" t="n"/>
      <c r="L342" s="824" t="n"/>
      <c r="M342" s="826" t="n"/>
      <c r="N342" s="824" t="n"/>
    </row>
    <row r="343" ht="13.5" customHeight="1" s="614">
      <c r="A343" s="780" t="n"/>
      <c r="B343" s="780" t="n"/>
      <c r="C343" s="781" t="inlineStr">
        <is>
          <t>異音、振動</t>
        </is>
      </c>
      <c r="D343" s="782" t="n"/>
      <c r="E343" s="783" t="n"/>
      <c r="F343" s="784" t="n"/>
      <c r="G343" s="783" t="n"/>
      <c r="H343" s="784" t="n"/>
      <c r="I343" s="783" t="n"/>
      <c r="J343" s="784" t="n"/>
      <c r="K343" s="783" t="n"/>
      <c r="L343" s="784" t="n"/>
      <c r="M343" s="783" t="n"/>
      <c r="N343" s="784" t="n"/>
    </row>
    <row r="344" ht="13.5" customHeight="1" s="614">
      <c r="A344" s="769" t="n"/>
      <c r="B344" s="769" t="n"/>
      <c r="C344" s="785" t="inlineStr">
        <is>
          <t>モード確認</t>
        </is>
      </c>
      <c r="D344" s="786" t="n"/>
      <c r="E344" s="793" t="n"/>
      <c r="F344" s="788" t="n"/>
      <c r="G344" s="793" t="n"/>
      <c r="H344" s="788" t="n"/>
      <c r="I344" s="793" t="n"/>
      <c r="J344" s="788" t="n"/>
      <c r="K344" s="793" t="n"/>
      <c r="L344" s="788" t="n"/>
      <c r="M344" s="793" t="n"/>
      <c r="N344" s="788" t="n"/>
    </row>
    <row r="345" ht="13.5" customHeight="1" s="614">
      <c r="A345" s="795" t="inlineStr">
        <is>
          <t>スカムスキマー</t>
        </is>
      </c>
      <c r="B345" s="796" t="inlineStr">
        <is>
          <t>―</t>
        </is>
      </c>
      <c r="C345" s="825" t="inlineStr">
        <is>
          <t>動作状況</t>
        </is>
      </c>
      <c r="D345" s="829" t="n"/>
      <c r="E345" s="797" t="n"/>
      <c r="F345" s="779" t="n"/>
      <c r="G345" s="797" t="n"/>
      <c r="H345" s="779" t="n"/>
      <c r="I345" s="797" t="n"/>
      <c r="J345" s="779" t="n"/>
      <c r="K345" s="797" t="n"/>
      <c r="L345" s="779" t="n"/>
      <c r="M345" s="797" t="n"/>
      <c r="N345" s="779" t="n"/>
    </row>
    <row r="346" ht="13.5" customHeight="1" s="614">
      <c r="A346" s="769" t="n"/>
      <c r="B346" s="769" t="n"/>
      <c r="C346" s="785" t="inlineStr">
        <is>
          <t>スカムの状況</t>
        </is>
      </c>
      <c r="D346" s="786" t="n"/>
      <c r="E346" s="828" t="n"/>
      <c r="F346" s="654" t="n"/>
      <c r="G346" s="828" t="n"/>
      <c r="H346" s="654" t="n"/>
      <c r="I346" s="828" t="n"/>
      <c r="J346" s="654" t="n"/>
      <c r="K346" s="828" t="n"/>
      <c r="L346" s="654" t="n"/>
      <c r="M346" s="828" t="n"/>
      <c r="N346" s="654" t="n"/>
    </row>
    <row r="347" ht="13.5" customHeight="1" s="614">
      <c r="A347" s="799" t="inlineStr">
        <is>
          <t>濃縮汚泥攪拌機</t>
        </is>
      </c>
      <c r="B347" s="804" t="inlineStr">
        <is>
          <t>―</t>
        </is>
      </c>
      <c r="C347" s="825" t="inlineStr">
        <is>
          <t>電流値</t>
        </is>
      </c>
      <c r="D347" s="777" t="inlineStr">
        <is>
          <t>Ａ</t>
        </is>
      </c>
      <c r="E347" s="778" t="n"/>
      <c r="F347" s="779" t="n"/>
      <c r="G347" s="778" t="n"/>
      <c r="H347" s="779" t="n"/>
      <c r="I347" s="778" t="n"/>
      <c r="J347" s="779" t="n"/>
      <c r="K347" s="778" t="n"/>
      <c r="L347" s="779" t="n"/>
      <c r="M347" s="778" t="n"/>
      <c r="N347" s="779" t="n"/>
    </row>
    <row r="348" ht="13.5" customHeight="1" s="614">
      <c r="A348" s="780" t="n"/>
      <c r="B348" s="780" t="n"/>
      <c r="C348" s="781" t="inlineStr">
        <is>
          <t>異音、振動</t>
        </is>
      </c>
      <c r="D348" s="782" t="n"/>
      <c r="E348" s="798" t="n"/>
      <c r="F348" s="784" t="n"/>
      <c r="G348" s="798" t="n"/>
      <c r="H348" s="784" t="n"/>
      <c r="I348" s="798" t="n"/>
      <c r="J348" s="784" t="n"/>
      <c r="K348" s="783" t="n"/>
      <c r="L348" s="784" t="n"/>
      <c r="M348" s="783" t="n"/>
      <c r="N348" s="784" t="n"/>
    </row>
    <row r="349" ht="13.5" customHeight="1" s="614">
      <c r="A349" s="780" t="n"/>
      <c r="B349" s="780" t="n"/>
      <c r="C349" s="809" t="inlineStr">
        <is>
          <t>モード確認</t>
        </is>
      </c>
      <c r="D349" s="810" t="n"/>
      <c r="E349" s="793" t="n"/>
      <c r="F349" s="788" t="n"/>
      <c r="G349" s="793" t="n"/>
      <c r="H349" s="788" t="n"/>
      <c r="I349" s="793" t="n"/>
      <c r="J349" s="788" t="n"/>
      <c r="K349" s="793" t="n"/>
      <c r="L349" s="788" t="n"/>
      <c r="M349" s="793" t="n"/>
      <c r="N349" s="788" t="n"/>
    </row>
    <row r="350" ht="13.5" customHeight="1" s="614">
      <c r="A350" s="818" t="inlineStr">
        <is>
          <t>濃縮汚泥曝気ﾌﾞﾛﾜ</t>
        </is>
      </c>
      <c r="B350" s="768" t="inlineStr">
        <is>
          <t>―</t>
        </is>
      </c>
      <c r="C350" s="825" t="inlineStr">
        <is>
          <t>電流値</t>
        </is>
      </c>
      <c r="D350" s="829" t="inlineStr">
        <is>
          <t>Ａ</t>
        </is>
      </c>
      <c r="E350" s="797" t="n"/>
      <c r="F350" s="779" t="n"/>
      <c r="G350" s="797" t="n"/>
      <c r="H350" s="779" t="n"/>
      <c r="I350" s="797" t="n"/>
      <c r="J350" s="779" t="n"/>
      <c r="K350" s="797" t="n"/>
      <c r="L350" s="779" t="n"/>
      <c r="M350" s="797" t="n"/>
      <c r="N350" s="779" t="n"/>
    </row>
    <row r="351" ht="13.5" customHeight="1" s="614">
      <c r="A351" s="780" t="n"/>
      <c r="B351" s="780" t="n"/>
      <c r="C351" s="781" t="inlineStr">
        <is>
          <t>異音、振動</t>
        </is>
      </c>
      <c r="D351" s="782" t="n"/>
      <c r="E351" s="798" t="n"/>
      <c r="F351" s="784" t="n"/>
      <c r="G351" s="798" t="n"/>
      <c r="H351" s="784" t="n"/>
      <c r="I351" s="798" t="n"/>
      <c r="J351" s="784" t="n"/>
      <c r="K351" s="783" t="n"/>
      <c r="L351" s="784" t="n"/>
      <c r="M351" s="783" t="n"/>
      <c r="N351" s="784" t="n"/>
    </row>
    <row r="352" ht="13.5" customHeight="1" s="614">
      <c r="A352" s="769" t="n"/>
      <c r="B352" s="769" t="n"/>
      <c r="C352" s="791" t="inlineStr">
        <is>
          <t>モード確認</t>
        </is>
      </c>
      <c r="D352" s="792" t="n"/>
      <c r="E352" s="793" t="n"/>
      <c r="F352" s="788" t="n"/>
      <c r="G352" s="793" t="n"/>
      <c r="H352" s="788" t="n"/>
      <c r="I352" s="793" t="n"/>
      <c r="J352" s="788" t="n"/>
      <c r="K352" s="793" t="n"/>
      <c r="L352" s="788" t="n"/>
      <c r="M352" s="793" t="n"/>
      <c r="N352" s="788" t="n"/>
    </row>
    <row r="353" ht="13.5" customHeight="1" s="614">
      <c r="A353" s="807" t="inlineStr">
        <is>
          <t>自動給水装置</t>
        </is>
      </c>
      <c r="B353" s="796" t="n">
        <v>1</v>
      </c>
      <c r="C353" s="809" t="inlineStr">
        <is>
          <t>電流値</t>
        </is>
      </c>
      <c r="D353" s="810" t="inlineStr">
        <is>
          <t>Ａ</t>
        </is>
      </c>
      <c r="E353" s="830" t="n"/>
      <c r="F353" s="824" t="n"/>
      <c r="G353" s="830" t="n"/>
      <c r="H353" s="824" t="n"/>
      <c r="I353" s="830" t="n"/>
      <c r="J353" s="824" t="n"/>
      <c r="K353" s="830" t="n"/>
      <c r="L353" s="824" t="n"/>
      <c r="M353" s="830" t="n"/>
      <c r="N353" s="824" t="n"/>
    </row>
    <row r="354" ht="13.5" customHeight="1" s="614">
      <c r="A354" s="780" t="n"/>
      <c r="B354" s="769" t="n"/>
      <c r="C354" s="791" t="inlineStr">
        <is>
          <t>異音、振動等</t>
        </is>
      </c>
      <c r="D354" s="792" t="n"/>
      <c r="E354" s="793" t="n"/>
      <c r="F354" s="788" t="n"/>
      <c r="G354" s="793" t="n"/>
      <c r="H354" s="788" t="n"/>
      <c r="I354" s="793" t="n"/>
      <c r="J354" s="788" t="n"/>
      <c r="K354" s="793" t="n"/>
      <c r="L354" s="788" t="n"/>
      <c r="M354" s="787" t="n"/>
      <c r="N354" s="788" t="n"/>
    </row>
    <row r="355" ht="13.5" customHeight="1" s="614">
      <c r="A355" s="780" t="n"/>
      <c r="B355" s="767" t="n">
        <v>2</v>
      </c>
      <c r="C355" s="776" t="inlineStr">
        <is>
          <t>電流値</t>
        </is>
      </c>
      <c r="D355" s="777" t="inlineStr">
        <is>
          <t>Ａ</t>
        </is>
      </c>
      <c r="E355" s="830" t="n"/>
      <c r="F355" s="824" t="n"/>
      <c r="G355" s="830" t="n"/>
      <c r="H355" s="824" t="n"/>
      <c r="I355" s="830" t="n"/>
      <c r="J355" s="824" t="n"/>
      <c r="K355" s="830" t="n"/>
      <c r="L355" s="824" t="n"/>
      <c r="M355" s="830" t="n"/>
      <c r="N355" s="824" t="n"/>
    </row>
    <row r="356" ht="13.5" customHeight="1" s="614">
      <c r="A356" s="780" t="n"/>
      <c r="B356" s="769" t="n"/>
      <c r="C356" s="791" t="inlineStr">
        <is>
          <t>異音、振動等</t>
        </is>
      </c>
      <c r="D356" s="792" t="n"/>
      <c r="E356" s="793" t="n"/>
      <c r="F356" s="788" t="n"/>
      <c r="G356" s="793" t="n"/>
      <c r="H356" s="788" t="n"/>
      <c r="I356" s="793" t="n"/>
      <c r="J356" s="788" t="n"/>
      <c r="K356" s="793" t="n"/>
      <c r="L356" s="788" t="n"/>
      <c r="M356" s="787" t="n"/>
      <c r="N356" s="788" t="n"/>
    </row>
    <row r="357" ht="13.5" customHeight="1" s="614">
      <c r="A357" s="780" t="n"/>
      <c r="B357" s="804" t="inlineStr">
        <is>
          <t>―</t>
        </is>
      </c>
      <c r="C357" s="776" t="inlineStr">
        <is>
          <t>モード確認</t>
        </is>
      </c>
      <c r="D357" s="777" t="n"/>
      <c r="E357" s="831" t="n"/>
      <c r="F357" s="627" t="n"/>
      <c r="G357" s="831" t="n"/>
      <c r="H357" s="627" t="n"/>
      <c r="I357" s="831" t="n"/>
      <c r="J357" s="627" t="n"/>
      <c r="K357" s="831" t="n"/>
      <c r="L357" s="627" t="n"/>
      <c r="M357" s="831" t="n"/>
      <c r="N357" s="627" t="n"/>
      <c r="P357" s="712" t="n"/>
      <c r="Q357" s="712" t="n"/>
      <c r="R357" s="712" t="n"/>
    </row>
    <row r="358" ht="13.5" customHeight="1" s="614">
      <c r="A358" s="772" t="inlineStr">
        <is>
          <t>混和池ＢＧ</t>
        </is>
      </c>
      <c r="B358" s="768" t="inlineStr">
        <is>
          <t>―</t>
        </is>
      </c>
      <c r="C358" s="832" t="inlineStr">
        <is>
          <t>開閉</t>
        </is>
      </c>
      <c r="D358" s="627" t="n"/>
      <c r="E358" s="831" t="n"/>
      <c r="F358" s="627" t="n"/>
      <c r="G358" s="831" t="n"/>
      <c r="H358" s="627" t="n"/>
      <c r="I358" s="831" t="n"/>
      <c r="J358" s="627" t="n"/>
      <c r="K358" s="831" t="n"/>
      <c r="L358" s="627" t="n"/>
      <c r="M358" s="831" t="n"/>
      <c r="N358" s="627" t="n"/>
      <c r="P358" s="712" t="n"/>
      <c r="Q358" s="712" t="n"/>
    </row>
    <row r="359" ht="13.5" customHeight="1" s="614">
      <c r="A359" s="772" t="inlineStr">
        <is>
          <t>塩素接触装置</t>
        </is>
      </c>
      <c r="B359" s="768" t="inlineStr">
        <is>
          <t>―</t>
        </is>
      </c>
      <c r="C359" s="773" t="inlineStr">
        <is>
          <t>薬剤残量確認</t>
        </is>
      </c>
      <c r="D359" s="805" t="n"/>
      <c r="E359" s="775" t="n"/>
      <c r="F359" s="627" t="n"/>
      <c r="G359" s="775" t="n"/>
      <c r="H359" s="627" t="n"/>
      <c r="I359" s="775" t="n"/>
      <c r="J359" s="627" t="n"/>
      <c r="K359" s="775" t="n"/>
      <c r="L359" s="627" t="n"/>
      <c r="M359" s="775" t="n"/>
      <c r="N359" s="627" t="n"/>
    </row>
    <row r="360" ht="13.5" customHeight="1" s="614">
      <c r="A360" s="772" t="inlineStr">
        <is>
          <t>脱臭ファン</t>
        </is>
      </c>
      <c r="B360" s="768" t="inlineStr">
        <is>
          <t>―</t>
        </is>
      </c>
      <c r="C360" s="776" t="inlineStr">
        <is>
          <t>電流値</t>
        </is>
      </c>
      <c r="D360" s="777" t="inlineStr">
        <is>
          <t>Ａ</t>
        </is>
      </c>
      <c r="E360" s="833" t="n"/>
      <c r="F360" s="824" t="n"/>
      <c r="G360" s="833" t="n"/>
      <c r="H360" s="824" t="n"/>
      <c r="I360" s="833" t="n"/>
      <c r="J360" s="824" t="n"/>
      <c r="K360" s="833" t="n"/>
      <c r="L360" s="824" t="n"/>
      <c r="M360" s="833" t="n"/>
      <c r="N360" s="824" t="n"/>
    </row>
    <row r="361" ht="13.5" customHeight="1" s="614">
      <c r="A361" s="780" t="n"/>
      <c r="B361" s="780" t="n"/>
      <c r="C361" s="834" t="inlineStr">
        <is>
          <t>ボルト・ナットの緩み</t>
        </is>
      </c>
      <c r="D361" s="784" t="n"/>
      <c r="E361" s="783" t="n"/>
      <c r="F361" s="784" t="n"/>
      <c r="G361" s="783" t="n"/>
      <c r="H361" s="784" t="n"/>
      <c r="I361" s="783" t="n"/>
      <c r="J361" s="784" t="n"/>
      <c r="K361" s="783" t="n"/>
      <c r="L361" s="784" t="n"/>
      <c r="M361" s="783" t="n"/>
      <c r="N361" s="784" t="n"/>
    </row>
    <row r="362" ht="13.5" customHeight="1" s="614">
      <c r="A362" s="769" t="n"/>
      <c r="B362" s="769" t="n"/>
      <c r="C362" s="835" t="inlineStr">
        <is>
          <t>モード確認</t>
        </is>
      </c>
      <c r="D362" s="654" t="n"/>
      <c r="E362" s="793" t="n"/>
      <c r="F362" s="788" t="n"/>
      <c r="G362" s="793" t="n"/>
      <c r="H362" s="788" t="n"/>
      <c r="I362" s="793" t="n"/>
      <c r="J362" s="788" t="n"/>
      <c r="K362" s="793" t="n"/>
      <c r="L362" s="788" t="n"/>
      <c r="M362" s="793" t="n"/>
      <c r="N362" s="788" t="n"/>
    </row>
    <row r="363" ht="13.5" customHeight="1" s="614">
      <c r="A363" s="772" t="inlineStr">
        <is>
          <t>水処理用ﾀﾞﾝﾊﾟ</t>
        </is>
      </c>
      <c r="B363" s="768" t="inlineStr">
        <is>
          <t>―</t>
        </is>
      </c>
      <c r="C363" s="836" t="inlineStr">
        <is>
          <t>異音、振動</t>
        </is>
      </c>
      <c r="D363" s="779" t="n"/>
      <c r="E363" s="837" t="n"/>
      <c r="F363" s="824" t="n"/>
      <c r="G363" s="837" t="n"/>
      <c r="H363" s="824" t="n"/>
      <c r="I363" s="837" t="n"/>
      <c r="J363" s="824" t="n"/>
      <c r="K363" s="837" t="n"/>
      <c r="L363" s="824" t="n"/>
      <c r="M363" s="837" t="n"/>
      <c r="N363" s="824" t="n"/>
      <c r="P363" s="712" t="n"/>
      <c r="Q363" s="712" t="n"/>
    </row>
    <row r="364" ht="13.5" customHeight="1" s="614">
      <c r="A364" s="769" t="n"/>
      <c r="B364" s="769" t="n"/>
      <c r="C364" s="838" t="inlineStr">
        <is>
          <t>モード確認</t>
        </is>
      </c>
      <c r="D364" s="788" t="n"/>
      <c r="E364" s="793" t="n"/>
      <c r="F364" s="788" t="n"/>
      <c r="G364" s="793" t="n"/>
      <c r="H364" s="788" t="n"/>
      <c r="I364" s="793" t="n"/>
      <c r="J364" s="788" t="n"/>
      <c r="K364" s="793" t="n"/>
      <c r="L364" s="788" t="n"/>
      <c r="M364" s="793" t="n"/>
      <c r="N364" s="788" t="n"/>
    </row>
    <row r="365" ht="13.5" customHeight="1" s="614">
      <c r="A365" s="772" t="inlineStr">
        <is>
          <t>汚泥処理用ﾀﾞﾝﾊﾟ</t>
        </is>
      </c>
      <c r="B365" s="768" t="inlineStr">
        <is>
          <t>―</t>
        </is>
      </c>
      <c r="C365" s="825" t="inlineStr">
        <is>
          <t>異音、振動</t>
        </is>
      </c>
      <c r="D365" s="829" t="n"/>
      <c r="E365" s="837" t="n"/>
      <c r="F365" s="824" t="n"/>
      <c r="G365" s="837" t="n"/>
      <c r="H365" s="824" t="n"/>
      <c r="I365" s="837" t="n"/>
      <c r="J365" s="824" t="n"/>
      <c r="K365" s="837" t="n"/>
      <c r="L365" s="824" t="n"/>
      <c r="M365" s="837" t="n"/>
      <c r="N365" s="824" t="n"/>
    </row>
    <row r="366" ht="13.5" customHeight="1" s="614">
      <c r="A366" s="769" t="n"/>
      <c r="B366" s="769" t="n"/>
      <c r="C366" s="791" t="inlineStr">
        <is>
          <t>モード確認</t>
        </is>
      </c>
      <c r="D366" s="792" t="n"/>
      <c r="E366" s="793" t="n"/>
      <c r="F366" s="788" t="n"/>
      <c r="G366" s="793" t="n"/>
      <c r="H366" s="788" t="n"/>
      <c r="I366" s="793" t="n"/>
      <c r="J366" s="788" t="n"/>
      <c r="K366" s="793" t="n"/>
      <c r="L366" s="788" t="n"/>
      <c r="M366" s="793" t="n"/>
      <c r="N366" s="788" t="n"/>
    </row>
    <row r="367" ht="13.5" customHeight="1" s="614">
      <c r="A367" s="772" t="inlineStr">
        <is>
          <t>吸着脱装置</t>
        </is>
      </c>
      <c r="B367" s="768" t="inlineStr">
        <is>
          <t>―</t>
        </is>
      </c>
      <c r="C367" s="836" t="inlineStr">
        <is>
          <t>マノメータ等の作動確認</t>
        </is>
      </c>
      <c r="D367" s="779" t="n"/>
      <c r="E367" s="837" t="n"/>
      <c r="F367" s="824" t="n"/>
      <c r="G367" s="837" t="n"/>
      <c r="H367" s="824" t="n"/>
      <c r="I367" s="837" t="n"/>
      <c r="J367" s="824" t="n"/>
      <c r="K367" s="837" t="n"/>
      <c r="L367" s="824" t="n"/>
      <c r="M367" s="837" t="n"/>
      <c r="N367" s="824" t="n"/>
    </row>
    <row r="368" ht="13.5" customHeight="1" s="614">
      <c r="A368" s="769" t="n"/>
      <c r="B368" s="769" t="n"/>
      <c r="C368" s="838">
        <f>C365</f>
        <v/>
      </c>
      <c r="D368" s="788" t="n"/>
      <c r="E368" s="787" t="n"/>
      <c r="F368" s="788" t="n"/>
      <c r="G368" s="787" t="n"/>
      <c r="H368" s="788" t="n"/>
      <c r="I368" s="787" t="n"/>
      <c r="J368" s="788" t="n"/>
      <c r="K368" s="787" t="n"/>
      <c r="L368" s="788" t="n"/>
      <c r="M368" s="787" t="n"/>
      <c r="N368" s="788" t="n"/>
      <c r="P368" s="712" t="n"/>
      <c r="Q368" s="712" t="n"/>
      <c r="R368" s="712" t="n"/>
    </row>
    <row r="369" ht="13.5" customHeight="1" s="614">
      <c r="A369" s="772" t="inlineStr">
        <is>
          <t>自家発室給気ファン</t>
        </is>
      </c>
      <c r="B369" s="768" t="inlineStr">
        <is>
          <t>―</t>
        </is>
      </c>
      <c r="C369" s="825" t="inlineStr">
        <is>
          <t>異音、振動</t>
        </is>
      </c>
      <c r="D369" s="829" t="n"/>
      <c r="E369" s="837" t="n"/>
      <c r="F369" s="824" t="n"/>
      <c r="G369" s="837" t="n"/>
      <c r="H369" s="824" t="n"/>
      <c r="I369" s="837" t="n"/>
      <c r="J369" s="824" t="n"/>
      <c r="K369" s="837" t="n"/>
      <c r="L369" s="824" t="n"/>
      <c r="M369" s="837" t="n"/>
      <c r="N369" s="824" t="n"/>
    </row>
    <row r="370" ht="13.5" customHeight="1" s="614">
      <c r="A370" s="769" t="n"/>
      <c r="B370" s="769" t="n"/>
      <c r="C370" s="791" t="inlineStr">
        <is>
          <t>モード確認</t>
        </is>
      </c>
      <c r="D370" s="792" t="n"/>
      <c r="E370" s="793" t="n"/>
      <c r="F370" s="788" t="n"/>
      <c r="G370" s="793" t="n"/>
      <c r="H370" s="788" t="n"/>
      <c r="I370" s="793" t="n"/>
      <c r="J370" s="788" t="n"/>
      <c r="K370" s="793" t="n"/>
      <c r="L370" s="788" t="n"/>
      <c r="M370" s="793" t="n"/>
      <c r="N370" s="788" t="n"/>
    </row>
    <row r="371" ht="13.5" customHeight="1" s="614">
      <c r="A371" s="772" t="inlineStr">
        <is>
          <t>自家発室排気ファン</t>
        </is>
      </c>
      <c r="B371" s="768" t="inlineStr">
        <is>
          <t>―</t>
        </is>
      </c>
      <c r="C371" s="825" t="inlineStr">
        <is>
          <t>異音、振動</t>
        </is>
      </c>
      <c r="D371" s="829" t="n"/>
      <c r="E371" s="837" t="n"/>
      <c r="F371" s="824" t="n"/>
      <c r="G371" s="837" t="n"/>
      <c r="H371" s="824" t="n"/>
      <c r="I371" s="837" t="n"/>
      <c r="J371" s="824" t="n"/>
      <c r="K371" s="837" t="n"/>
      <c r="L371" s="824" t="n"/>
      <c r="M371" s="837" t="n"/>
      <c r="N371" s="824" t="n"/>
    </row>
    <row r="372" ht="13.5" customHeight="1" s="614">
      <c r="A372" s="769" t="n"/>
      <c r="B372" s="769" t="n"/>
      <c r="C372" s="791" t="inlineStr">
        <is>
          <t>モード確認</t>
        </is>
      </c>
      <c r="D372" s="792" t="n"/>
      <c r="E372" s="793" t="n"/>
      <c r="F372" s="788" t="n"/>
      <c r="G372" s="793" t="n"/>
      <c r="H372" s="788" t="n"/>
      <c r="I372" s="793" t="n"/>
      <c r="J372" s="788" t="n"/>
      <c r="K372" s="793" t="n"/>
      <c r="L372" s="788" t="n"/>
      <c r="M372" s="793" t="n"/>
      <c r="N372" s="788" t="n"/>
    </row>
    <row r="373" ht="13.5" customHeight="1" s="614">
      <c r="A373" s="772" t="inlineStr">
        <is>
          <t>汚泥ポンプ室給気ファン</t>
        </is>
      </c>
      <c r="B373" s="768" t="inlineStr">
        <is>
          <t>―</t>
        </is>
      </c>
      <c r="C373" s="825" t="inlineStr">
        <is>
          <t>異音、振動</t>
        </is>
      </c>
      <c r="D373" s="829" t="n"/>
      <c r="E373" s="837" t="n"/>
      <c r="F373" s="824" t="n"/>
      <c r="G373" s="837" t="n"/>
      <c r="H373" s="824" t="n"/>
      <c r="I373" s="837" t="n"/>
      <c r="J373" s="824" t="n"/>
      <c r="K373" s="837" t="n"/>
      <c r="L373" s="824" t="n"/>
      <c r="M373" s="837" t="n"/>
      <c r="N373" s="824" t="n"/>
    </row>
    <row r="374" ht="13.5" customHeight="1" s="614">
      <c r="A374" s="769" t="n"/>
      <c r="B374" s="769" t="n"/>
      <c r="C374" s="791" t="inlineStr">
        <is>
          <t>モード確認</t>
        </is>
      </c>
      <c r="D374" s="792" t="n"/>
      <c r="E374" s="793" t="n"/>
      <c r="F374" s="788" t="n"/>
      <c r="G374" s="793" t="n"/>
      <c r="H374" s="788" t="n"/>
      <c r="I374" s="793" t="n"/>
      <c r="J374" s="788" t="n"/>
      <c r="K374" s="793" t="n"/>
      <c r="L374" s="788" t="n"/>
      <c r="M374" s="793" t="n"/>
      <c r="N374" s="788" t="n"/>
    </row>
    <row r="375" ht="13.5" customHeight="1" s="614">
      <c r="A375" s="772" t="inlineStr">
        <is>
          <t>汚泥ポンプ室排気ファン</t>
        </is>
      </c>
      <c r="B375" s="768" t="inlineStr">
        <is>
          <t>―</t>
        </is>
      </c>
      <c r="C375" s="825" t="inlineStr">
        <is>
          <t>異音、振動</t>
        </is>
      </c>
      <c r="D375" s="829" t="n"/>
      <c r="E375" s="837" t="n"/>
      <c r="F375" s="824" t="n"/>
      <c r="G375" s="837" t="n"/>
      <c r="H375" s="824" t="n"/>
      <c r="I375" s="837" t="n"/>
      <c r="J375" s="824" t="n"/>
      <c r="K375" s="837" t="n"/>
      <c r="L375" s="824" t="n"/>
      <c r="M375" s="837" t="n"/>
      <c r="N375" s="824" t="n"/>
    </row>
    <row r="376" ht="13.5" customHeight="1" s="614">
      <c r="A376" s="769" t="n"/>
      <c r="B376" s="769" t="n"/>
      <c r="C376" s="791" t="inlineStr">
        <is>
          <t>モード確認</t>
        </is>
      </c>
      <c r="D376" s="792" t="n"/>
      <c r="E376" s="793" t="n"/>
      <c r="F376" s="788" t="n"/>
      <c r="G376" s="793" t="n"/>
      <c r="H376" s="788" t="n"/>
      <c r="I376" s="793" t="n"/>
      <c r="J376" s="788" t="n"/>
      <c r="K376" s="793" t="n"/>
      <c r="L376" s="788" t="n"/>
      <c r="M376" s="793" t="n"/>
      <c r="N376" s="788" t="n"/>
    </row>
    <row r="377" ht="13.5" customHeight="1" s="614">
      <c r="A377" s="772" t="inlineStr">
        <is>
          <t>脱水機室給気ファン</t>
        </is>
      </c>
      <c r="B377" s="768" t="inlineStr">
        <is>
          <t>―</t>
        </is>
      </c>
      <c r="C377" s="825" t="inlineStr">
        <is>
          <t>異音、振動</t>
        </is>
      </c>
      <c r="D377" s="829" t="n"/>
      <c r="E377" s="823" t="n"/>
      <c r="F377" s="824" t="n"/>
      <c r="G377" s="823" t="n"/>
      <c r="H377" s="824" t="n"/>
      <c r="I377" s="823" t="n"/>
      <c r="J377" s="824" t="n"/>
      <c r="K377" s="823" t="n"/>
      <c r="L377" s="824" t="n"/>
      <c r="M377" s="837" t="n"/>
      <c r="N377" s="824" t="n"/>
    </row>
    <row r="378" ht="13.5" customHeight="1" s="614">
      <c r="A378" s="769" t="n"/>
      <c r="B378" s="769" t="n"/>
      <c r="C378" s="791" t="inlineStr">
        <is>
          <t>モード確認</t>
        </is>
      </c>
      <c r="D378" s="792" t="n"/>
      <c r="E378" s="793" t="n"/>
      <c r="F378" s="788" t="n"/>
      <c r="G378" s="793" t="n"/>
      <c r="H378" s="788" t="n"/>
      <c r="I378" s="793" t="n"/>
      <c r="J378" s="788" t="n"/>
      <c r="K378" s="793" t="n"/>
      <c r="L378" s="788" t="n"/>
      <c r="M378" s="793" t="n"/>
      <c r="N378" s="788" t="n"/>
    </row>
    <row r="379" ht="13.5" customHeight="1" s="614">
      <c r="A379" s="772" t="inlineStr">
        <is>
          <t>脱水機室排気ファン</t>
        </is>
      </c>
      <c r="B379" s="768" t="inlineStr">
        <is>
          <t>―</t>
        </is>
      </c>
      <c r="C379" s="825" t="inlineStr">
        <is>
          <t>異音、振動</t>
        </is>
      </c>
      <c r="D379" s="829" t="n"/>
      <c r="E379" s="823" t="n"/>
      <c r="F379" s="824" t="n"/>
      <c r="G379" s="823" t="n"/>
      <c r="H379" s="824" t="n"/>
      <c r="I379" s="823" t="n"/>
      <c r="J379" s="824" t="n"/>
      <c r="K379" s="823" t="n"/>
      <c r="L379" s="824" t="n"/>
      <c r="M379" s="837" t="n"/>
      <c r="N379" s="824" t="n"/>
    </row>
    <row r="380" ht="13.5" customHeight="1" s="614">
      <c r="A380" s="769" t="n"/>
      <c r="B380" s="769" t="n"/>
      <c r="C380" s="791" t="inlineStr">
        <is>
          <t>モード確認</t>
        </is>
      </c>
      <c r="D380" s="792" t="n"/>
      <c r="E380" s="793" t="n"/>
      <c r="F380" s="788" t="n"/>
      <c r="G380" s="793" t="n"/>
      <c r="H380" s="788" t="n"/>
      <c r="I380" s="793" t="n"/>
      <c r="J380" s="788" t="n"/>
      <c r="K380" s="793" t="n"/>
      <c r="L380" s="788" t="n"/>
      <c r="M380" s="793" t="n"/>
      <c r="N380" s="788" t="n"/>
    </row>
    <row r="381" ht="13.5" customHeight="1" s="614">
      <c r="A381" s="809" t="inlineStr">
        <is>
          <t xml:space="preserve">　　備　　考</t>
        </is>
      </c>
      <c r="B381" s="839" t="n"/>
      <c r="C381" s="839" t="n"/>
      <c r="D381" s="839" t="n"/>
      <c r="E381" s="839" t="n"/>
      <c r="F381" s="839" t="n"/>
      <c r="G381" s="839" t="n"/>
      <c r="H381" s="839" t="n"/>
      <c r="I381" s="839" t="n"/>
      <c r="J381" s="839" t="n"/>
      <c r="K381" s="839" t="n"/>
      <c r="L381" s="839" t="n"/>
      <c r="M381" s="839" t="n"/>
      <c r="N381" s="840" t="n"/>
    </row>
    <row r="382" ht="13.5" customHeight="1" s="614">
      <c r="A382" s="809" t="n"/>
      <c r="B382" s="839" t="n"/>
      <c r="C382" s="839" t="n"/>
      <c r="D382" s="839" t="n"/>
      <c r="E382" s="839" t="n"/>
      <c r="F382" s="839" t="n"/>
      <c r="G382" s="839" t="n"/>
      <c r="H382" s="839" t="n"/>
      <c r="I382" s="839" t="n"/>
      <c r="J382" s="839" t="n"/>
      <c r="K382" s="839" t="n"/>
      <c r="L382" s="839" t="n"/>
      <c r="M382" s="839" t="n"/>
      <c r="N382" s="840" t="n"/>
    </row>
    <row r="383" ht="13.5" customHeight="1" s="614">
      <c r="A383" s="809" t="n"/>
      <c r="B383" s="839" t="n"/>
      <c r="C383" s="839" t="n"/>
      <c r="D383" s="839" t="n"/>
      <c r="E383" s="839" t="n"/>
      <c r="F383" s="839" t="n"/>
      <c r="G383" s="839" t="n"/>
      <c r="H383" s="839" t="n"/>
      <c r="I383" s="839" t="n"/>
      <c r="J383" s="839" t="n"/>
      <c r="K383" s="839" t="n"/>
      <c r="L383" s="839" t="n"/>
      <c r="M383" s="839" t="n"/>
      <c r="N383" s="840" t="n"/>
    </row>
    <row r="384" ht="13.5" customHeight="1" s="614">
      <c r="A384" s="809" t="n"/>
      <c r="B384" s="839" t="n"/>
      <c r="C384" s="839" t="n"/>
      <c r="D384" s="839" t="n"/>
      <c r="E384" s="839" t="n"/>
      <c r="F384" s="839" t="n"/>
      <c r="G384" s="839" t="n"/>
      <c r="H384" s="839" t="n"/>
      <c r="I384" s="839" t="n"/>
      <c r="J384" s="839" t="n"/>
      <c r="K384" s="839" t="n"/>
      <c r="L384" s="839" t="n"/>
      <c r="M384" s="839" t="n"/>
      <c r="N384" s="840" t="n"/>
    </row>
    <row r="385" ht="13.5" customHeight="1" s="614">
      <c r="A385" s="809" t="n"/>
      <c r="B385" s="839" t="n"/>
      <c r="C385" s="839" t="n"/>
      <c r="D385" s="839" t="n"/>
      <c r="E385" s="839" t="n"/>
      <c r="F385" s="839" t="n"/>
      <c r="G385" s="839" t="n"/>
      <c r="H385" s="839" t="n"/>
      <c r="I385" s="839" t="n"/>
      <c r="J385" s="839" t="n"/>
      <c r="K385" s="839" t="n"/>
      <c r="L385" s="839" t="n"/>
      <c r="M385" s="839" t="n"/>
      <c r="N385" s="840" t="n"/>
    </row>
    <row r="386" ht="13.5" customHeight="1" s="614">
      <c r="A386" s="809" t="n"/>
      <c r="B386" s="839" t="n"/>
      <c r="C386" s="839" t="n"/>
      <c r="D386" s="839" t="n"/>
      <c r="E386" s="839" t="n"/>
      <c r="F386" s="839" t="n"/>
      <c r="G386" s="839" t="n"/>
      <c r="H386" s="839" t="n"/>
      <c r="I386" s="839" t="n"/>
      <c r="J386" s="839" t="n"/>
      <c r="K386" s="839" t="n"/>
      <c r="L386" s="839" t="n"/>
      <c r="M386" s="839" t="n"/>
      <c r="N386" s="840" t="n"/>
    </row>
    <row r="387" ht="13.5" customHeight="1" s="614">
      <c r="A387" s="809" t="n"/>
      <c r="B387" s="839" t="n"/>
      <c r="C387" s="839" t="n"/>
      <c r="D387" s="839" t="n"/>
      <c r="E387" s="839" t="n"/>
      <c r="F387" s="839" t="n"/>
      <c r="G387" s="839" t="n"/>
      <c r="H387" s="839" t="n"/>
      <c r="I387" s="839" t="n"/>
      <c r="J387" s="839" t="n"/>
      <c r="K387" s="839" t="n"/>
      <c r="L387" s="839" t="n"/>
      <c r="M387" s="839" t="n"/>
      <c r="N387" s="840" t="n"/>
    </row>
    <row r="388" ht="13.5" customHeight="1" s="614">
      <c r="A388" s="809" t="n"/>
      <c r="B388" s="839" t="n"/>
      <c r="C388" s="839" t="n"/>
      <c r="D388" s="839" t="n"/>
      <c r="E388" s="839" t="n"/>
      <c r="F388" s="839" t="n"/>
      <c r="G388" s="839" t="n"/>
      <c r="H388" s="839" t="n"/>
      <c r="I388" s="839" t="n"/>
      <c r="J388" s="839" t="n"/>
      <c r="K388" s="839" t="n"/>
      <c r="L388" s="839" t="n"/>
      <c r="M388" s="839" t="n"/>
      <c r="N388" s="840" t="n"/>
    </row>
    <row r="389" ht="13.5" customHeight="1" s="614">
      <c r="A389" s="809" t="n"/>
      <c r="B389" s="839" t="n"/>
      <c r="C389" s="839" t="n"/>
      <c r="D389" s="839" t="n"/>
      <c r="E389" s="839" t="n"/>
      <c r="F389" s="839" t="n"/>
      <c r="G389" s="839" t="n"/>
      <c r="H389" s="839" t="n"/>
      <c r="I389" s="839" t="n"/>
      <c r="J389" s="839" t="n"/>
      <c r="K389" s="839" t="n"/>
      <c r="L389" s="839" t="n"/>
      <c r="M389" s="839" t="n"/>
      <c r="N389" s="840" t="n"/>
    </row>
    <row r="390" ht="13.5" customHeight="1" s="614">
      <c r="A390" s="809" t="n"/>
      <c r="B390" s="839" t="n"/>
      <c r="C390" s="839" t="n"/>
      <c r="D390" s="839" t="n"/>
      <c r="E390" s="839" t="n"/>
      <c r="F390" s="839" t="n"/>
      <c r="G390" s="839" t="n"/>
      <c r="H390" s="839" t="n"/>
      <c r="I390" s="839" t="n"/>
      <c r="J390" s="839" t="n"/>
      <c r="K390" s="839" t="n"/>
      <c r="L390" s="839" t="n"/>
      <c r="M390" s="839" t="n"/>
      <c r="N390" s="840" t="n"/>
    </row>
    <row r="391" ht="13.5" customHeight="1" s="614">
      <c r="A391" s="809" t="n"/>
      <c r="B391" s="839" t="n"/>
      <c r="C391" s="839" t="n"/>
      <c r="D391" s="839" t="n"/>
      <c r="E391" s="839" t="n"/>
      <c r="F391" s="839" t="n"/>
      <c r="G391" s="839" t="n"/>
      <c r="H391" s="839" t="n"/>
      <c r="I391" s="839" t="n"/>
      <c r="J391" s="839" t="n"/>
      <c r="K391" s="839" t="n"/>
      <c r="L391" s="839" t="n"/>
      <c r="M391" s="839" t="n"/>
      <c r="N391" s="840" t="n"/>
    </row>
    <row r="392" ht="13.5" customHeight="1" s="614">
      <c r="A392" s="809" t="n"/>
      <c r="B392" s="839" t="n"/>
      <c r="C392" s="839" t="n"/>
      <c r="D392" s="839" t="n"/>
      <c r="E392" s="839" t="n"/>
      <c r="F392" s="839" t="n"/>
      <c r="G392" s="839" t="n"/>
      <c r="H392" s="839" t="n"/>
      <c r="I392" s="839" t="n"/>
      <c r="J392" s="839" t="n"/>
      <c r="K392" s="839" t="n"/>
      <c r="L392" s="839" t="n"/>
      <c r="M392" s="839" t="n"/>
      <c r="N392" s="840" t="n"/>
    </row>
    <row r="393" ht="13.5" customHeight="1" s="614">
      <c r="A393" s="809" t="n"/>
      <c r="B393" s="839" t="n"/>
      <c r="C393" s="839" t="n"/>
      <c r="D393" s="839" t="n"/>
      <c r="E393" s="839" t="n"/>
      <c r="F393" s="839" t="n"/>
      <c r="G393" s="839" t="n"/>
      <c r="H393" s="839" t="n"/>
      <c r="I393" s="839" t="n"/>
      <c r="J393" s="839" t="n"/>
      <c r="K393" s="839" t="n"/>
      <c r="L393" s="839" t="n"/>
      <c r="M393" s="839" t="n"/>
      <c r="N393" s="840" t="n"/>
    </row>
    <row r="394" ht="13.5" customHeight="1" s="614">
      <c r="A394" s="809" t="n"/>
      <c r="B394" s="839" t="n"/>
      <c r="C394" s="839" t="n"/>
      <c r="D394" s="839" t="n"/>
      <c r="E394" s="839" t="n"/>
      <c r="F394" s="839" t="n"/>
      <c r="G394" s="839" t="n"/>
      <c r="H394" s="839" t="n"/>
      <c r="I394" s="839" t="n"/>
      <c r="J394" s="839" t="n"/>
      <c r="K394" s="839" t="n"/>
      <c r="L394" s="839" t="n"/>
      <c r="M394" s="839" t="n"/>
      <c r="N394" s="840" t="n"/>
    </row>
    <row r="395" ht="13.5" customHeight="1" s="614">
      <c r="A395" s="785" t="n"/>
      <c r="B395" s="819" t="n"/>
      <c r="C395" s="819" t="n"/>
      <c r="D395" s="819" t="n"/>
      <c r="E395" s="819" t="n"/>
      <c r="F395" s="819" t="n"/>
      <c r="G395" s="819" t="n"/>
      <c r="H395" s="819" t="n"/>
      <c r="I395" s="819" t="n"/>
      <c r="J395" s="819" t="n"/>
      <c r="K395" s="819" t="n"/>
      <c r="L395" s="819" t="n"/>
      <c r="M395" s="819" t="n"/>
      <c r="N395" s="841" t="n"/>
    </row>
    <row r="396" ht="13.5" customHeight="1" s="614">
      <c r="A396" s="820" t="inlineStr">
        <is>
          <t xml:space="preserve">　○：良　　△：要注意　　×：要修理</t>
        </is>
      </c>
    </row>
    <row r="397" ht="21" customHeight="1" s="614">
      <c r="A397" s="764" t="inlineStr">
        <is>
          <t>機械設備日常点検表（１/２）</t>
        </is>
      </c>
      <c r="B397" s="674" t="n"/>
      <c r="C397" s="765" t="n"/>
      <c r="D397" s="674" t="n"/>
      <c r="E397" s="674" t="n"/>
      <c r="F397" s="674" t="n"/>
      <c r="G397" s="674" t="n"/>
      <c r="H397" s="674" t="n"/>
      <c r="I397" s="674" t="n"/>
      <c r="J397" s="674" t="n"/>
      <c r="K397" s="765">
        <f>K1</f>
        <v/>
      </c>
      <c r="L397" s="765" t="n"/>
      <c r="M397" s="765" t="n"/>
      <c r="N397" s="674" t="n"/>
    </row>
    <row r="398" ht="13.5" customHeight="1" s="614">
      <c r="A398" s="767" t="inlineStr">
        <is>
          <t>機　器　名</t>
        </is>
      </c>
      <c r="B398" s="768" t="inlineStr">
        <is>
          <t>No</t>
        </is>
      </c>
      <c r="C398" s="767" t="inlineStr">
        <is>
          <t>点 検 者</t>
        </is>
      </c>
      <c r="D398" s="627" t="n"/>
      <c r="E398" s="842" t="n"/>
      <c r="F398" s="626" t="n"/>
      <c r="G398" s="842" t="n"/>
      <c r="H398" s="626" t="n"/>
      <c r="I398" s="843" t="n"/>
      <c r="J398" s="626" t="n"/>
      <c r="K398" s="843" t="n"/>
      <c r="L398" s="626" t="n"/>
      <c r="M398" s="767" t="n"/>
      <c r="N398" s="627" t="n"/>
    </row>
    <row r="399" ht="13.5" customHeight="1" s="614">
      <c r="A399" s="769" t="n"/>
      <c r="B399" s="769" t="n"/>
      <c r="C399" s="770" t="inlineStr">
        <is>
          <t>点検内容</t>
        </is>
      </c>
      <c r="D399" s="627" t="n"/>
      <c r="E399" s="771" t="n"/>
      <c r="F399" s="627" t="n"/>
      <c r="G399" s="771" t="n"/>
      <c r="H399" s="627" t="n"/>
      <c r="I399" s="771" t="n"/>
      <c r="J399" s="627" t="n"/>
      <c r="K399" s="771" t="n"/>
      <c r="L399" s="627" t="n"/>
      <c r="M399" s="771" t="n"/>
      <c r="N399" s="627" t="n"/>
    </row>
    <row r="400" ht="13.5" customHeight="1" s="614">
      <c r="A400" s="772" t="inlineStr">
        <is>
          <t>ポンプ井</t>
        </is>
      </c>
      <c r="B400" s="768" t="inlineStr">
        <is>
          <t>―</t>
        </is>
      </c>
      <c r="C400" s="773" t="inlineStr">
        <is>
          <t>内部状況確認</t>
        </is>
      </c>
      <c r="D400" s="805" t="n"/>
      <c r="E400" s="850" t="n"/>
      <c r="F400" s="627" t="n"/>
      <c r="G400" s="850" t="n"/>
      <c r="H400" s="627" t="n"/>
      <c r="I400" s="775" t="n"/>
      <c r="J400" s="627" t="n"/>
      <c r="K400" s="775" t="n"/>
      <c r="L400" s="627" t="n"/>
      <c r="M400" s="775" t="n"/>
      <c r="N400" s="627" t="n"/>
    </row>
    <row r="401" ht="13.5" customHeight="1" s="614">
      <c r="A401" s="772" t="inlineStr">
        <is>
          <t>汚水ポンプ</t>
        </is>
      </c>
      <c r="B401" s="768" t="n">
        <v>1</v>
      </c>
      <c r="C401" s="776" t="inlineStr">
        <is>
          <t>電流値</t>
        </is>
      </c>
      <c r="D401" s="777" t="inlineStr">
        <is>
          <t>Ａ</t>
        </is>
      </c>
      <c r="E401" s="851" t="n"/>
      <c r="F401" s="779" t="n"/>
      <c r="G401" s="851" t="n"/>
      <c r="H401" s="779" t="n"/>
      <c r="I401" s="778" t="n"/>
      <c r="J401" s="779" t="n"/>
      <c r="K401" s="778" t="n"/>
      <c r="L401" s="779" t="n"/>
      <c r="M401" s="778" t="n"/>
      <c r="N401" s="779" t="n"/>
    </row>
    <row r="402" ht="13.5" customHeight="1" s="614">
      <c r="A402" s="780" t="n"/>
      <c r="B402" s="780" t="n"/>
      <c r="C402" s="781" t="inlineStr">
        <is>
          <t>吐出圧力</t>
        </is>
      </c>
      <c r="D402" s="782" t="inlineStr">
        <is>
          <t>Mpa</t>
        </is>
      </c>
      <c r="E402" s="852" t="n"/>
      <c r="F402" s="784" t="n"/>
      <c r="G402" s="852" t="n"/>
      <c r="H402" s="784" t="n"/>
      <c r="I402" s="783" t="n"/>
      <c r="J402" s="784" t="n"/>
      <c r="K402" s="783" t="n"/>
      <c r="L402" s="784" t="n"/>
      <c r="M402" s="783" t="n"/>
      <c r="N402" s="784" t="n"/>
    </row>
    <row r="403" ht="13.5" customHeight="1" s="614">
      <c r="A403" s="780" t="n"/>
      <c r="B403" s="769" t="n"/>
      <c r="C403" s="785" t="inlineStr">
        <is>
          <t>異音、振動</t>
        </is>
      </c>
      <c r="D403" s="786" t="n"/>
      <c r="E403" s="853" t="n"/>
      <c r="F403" s="788" t="n"/>
      <c r="G403" s="853" t="n"/>
      <c r="H403" s="788" t="n"/>
      <c r="I403" s="787" t="n"/>
      <c r="J403" s="788" t="n"/>
      <c r="K403" s="787" t="n"/>
      <c r="L403" s="788" t="n"/>
      <c r="M403" s="787" t="n"/>
      <c r="N403" s="788" t="n"/>
    </row>
    <row r="404" ht="13.5" customHeight="1" s="614">
      <c r="A404" s="780" t="n"/>
      <c r="B404" s="768" t="n">
        <v>2</v>
      </c>
      <c r="C404" s="776" t="inlineStr">
        <is>
          <t>電流値</t>
        </is>
      </c>
      <c r="D404" s="777" t="inlineStr">
        <is>
          <t>Ａ</t>
        </is>
      </c>
      <c r="E404" s="851" t="n"/>
      <c r="F404" s="779" t="n"/>
      <c r="G404" s="851" t="n"/>
      <c r="H404" s="779" t="n"/>
      <c r="I404" s="778" t="n"/>
      <c r="J404" s="779" t="n"/>
      <c r="K404" s="778" t="n"/>
      <c r="L404" s="779" t="n"/>
      <c r="M404" s="778" t="n"/>
      <c r="N404" s="779" t="n"/>
    </row>
    <row r="405" ht="13.5" customHeight="1" s="614">
      <c r="A405" s="780" t="n"/>
      <c r="B405" s="780" t="n"/>
      <c r="C405" s="781" t="inlineStr">
        <is>
          <t>吐出圧力</t>
        </is>
      </c>
      <c r="D405" s="782" t="inlineStr">
        <is>
          <t>Mpa</t>
        </is>
      </c>
      <c r="E405" s="852" t="n"/>
      <c r="F405" s="784" t="n"/>
      <c r="G405" s="852" t="n"/>
      <c r="H405" s="784" t="n"/>
      <c r="I405" s="783" t="n"/>
      <c r="J405" s="784" t="n"/>
      <c r="K405" s="783" t="n"/>
      <c r="L405" s="784" t="n"/>
      <c r="M405" s="783" t="n"/>
      <c r="N405" s="784" t="n"/>
      <c r="P405" s="675" t="n"/>
    </row>
    <row r="406" ht="13.5" customHeight="1" s="614">
      <c r="A406" s="780" t="n"/>
      <c r="B406" s="769" t="n"/>
      <c r="C406" s="785">
        <f>C403</f>
        <v/>
      </c>
      <c r="D406" s="786" t="n"/>
      <c r="E406" s="853" t="n"/>
      <c r="F406" s="788" t="n"/>
      <c r="G406" s="853" t="n"/>
      <c r="H406" s="788" t="n"/>
      <c r="I406" s="787" t="n"/>
      <c r="J406" s="788" t="n"/>
      <c r="K406" s="787" t="n"/>
      <c r="L406" s="788" t="n"/>
      <c r="M406" s="787" t="n"/>
      <c r="N406" s="788" t="n"/>
    </row>
    <row r="407" ht="13.5" customHeight="1" s="614">
      <c r="A407" s="780" t="n"/>
      <c r="B407" s="768" t="inlineStr">
        <is>
          <t>―</t>
        </is>
      </c>
      <c r="C407" s="776" t="inlineStr">
        <is>
          <t>モード確認</t>
        </is>
      </c>
      <c r="D407" s="777" t="n"/>
      <c r="E407" s="854" t="n"/>
      <c r="F407" s="779" t="n"/>
      <c r="G407" s="854" t="n"/>
      <c r="H407" s="779" t="n"/>
      <c r="I407" s="789" t="n"/>
      <c r="J407" s="779" t="n"/>
      <c r="K407" s="789" t="n"/>
      <c r="L407" s="779" t="n"/>
      <c r="M407" s="789" t="n"/>
      <c r="N407" s="779" t="n"/>
      <c r="P407" s="790" t="n"/>
      <c r="Q407" s="790" t="n"/>
      <c r="R407" s="790" t="n"/>
    </row>
    <row r="408" ht="13.5" customHeight="1" s="614">
      <c r="A408" s="769" t="n"/>
      <c r="B408" s="769" t="n"/>
      <c r="C408" s="791" t="inlineStr">
        <is>
          <t>常用機選択</t>
        </is>
      </c>
      <c r="D408" s="792" t="n"/>
      <c r="E408" s="855" t="n"/>
      <c r="F408" s="788" t="n"/>
      <c r="G408" s="855" t="n"/>
      <c r="H408" s="788" t="n"/>
      <c r="I408" s="793" t="n"/>
      <c r="J408" s="788" t="n"/>
      <c r="K408" s="793" t="n"/>
      <c r="L408" s="788" t="n"/>
      <c r="M408" s="793" t="n"/>
      <c r="N408" s="788" t="n"/>
      <c r="P408" s="794" t="n"/>
      <c r="Q408" s="794" t="n"/>
      <c r="R408" s="790" t="n"/>
    </row>
    <row r="409" ht="13.5" customHeight="1" s="614">
      <c r="A409" s="795" t="inlineStr">
        <is>
          <t>スクリーンユニット</t>
        </is>
      </c>
      <c r="B409" s="796" t="n"/>
      <c r="C409" s="781" t="inlineStr">
        <is>
          <t>異音、振動</t>
        </is>
      </c>
      <c r="D409" s="782" t="n"/>
      <c r="E409" s="856" t="n"/>
      <c r="F409" s="779" t="n"/>
      <c r="G409" s="856" t="n"/>
      <c r="H409" s="779" t="n"/>
      <c r="I409" s="797" t="n"/>
      <c r="J409" s="779" t="n"/>
      <c r="K409" s="797" t="n"/>
      <c r="L409" s="779" t="n"/>
      <c r="M409" s="797" t="n"/>
      <c r="N409" s="779" t="n"/>
      <c r="S409" s="790" t="n"/>
    </row>
    <row r="410" ht="13.5" customHeight="1" s="614">
      <c r="A410" s="780" t="n"/>
      <c r="B410" s="780" t="n"/>
      <c r="C410" s="781" t="inlineStr">
        <is>
          <t>し渣量の確認</t>
        </is>
      </c>
      <c r="D410" s="782" t="n"/>
      <c r="E410" s="857" t="n"/>
      <c r="F410" s="784" t="n"/>
      <c r="G410" s="857" t="n"/>
      <c r="H410" s="784" t="n"/>
      <c r="I410" s="798" t="n"/>
      <c r="J410" s="784" t="n"/>
      <c r="K410" s="798" t="n"/>
      <c r="L410" s="784" t="n"/>
      <c r="M410" s="798" t="n"/>
      <c r="N410" s="784" t="n"/>
      <c r="P410" s="712" t="n"/>
      <c r="Q410" s="712" t="n"/>
      <c r="R410" s="790" t="n"/>
    </row>
    <row r="411" ht="13.5" customHeight="1" s="614">
      <c r="A411" s="769" t="n"/>
      <c r="B411" s="769" t="n"/>
      <c r="C411" s="785" t="inlineStr">
        <is>
          <t>運転動作</t>
        </is>
      </c>
      <c r="D411" s="786" t="n"/>
      <c r="E411" s="853" t="n"/>
      <c r="F411" s="788" t="n"/>
      <c r="G411" s="853" t="n"/>
      <c r="H411" s="788" t="n"/>
      <c r="I411" s="787" t="n"/>
      <c r="J411" s="788" t="n"/>
      <c r="K411" s="787" t="n"/>
      <c r="L411" s="788" t="n"/>
      <c r="M411" s="787" t="n"/>
      <c r="N411" s="788" t="n"/>
      <c r="P411" s="790" t="n"/>
      <c r="Q411" s="790" t="n"/>
    </row>
    <row r="412" ht="13.5" customHeight="1" s="614">
      <c r="A412" s="799" t="inlineStr">
        <is>
          <t>エアレーション装置</t>
        </is>
      </c>
      <c r="B412" s="800" t="inlineStr">
        <is>
          <t>1-1</t>
        </is>
      </c>
      <c r="C412" s="776" t="inlineStr">
        <is>
          <t>電流値</t>
        </is>
      </c>
      <c r="D412" s="777" t="inlineStr">
        <is>
          <t>Ａ</t>
        </is>
      </c>
      <c r="E412" s="851" t="n"/>
      <c r="F412" s="779" t="n"/>
      <c r="G412" s="851" t="n"/>
      <c r="H412" s="779" t="n"/>
      <c r="I412" s="778" t="n"/>
      <c r="J412" s="779" t="n"/>
      <c r="K412" s="778" t="n"/>
      <c r="L412" s="779" t="n"/>
      <c r="M412" s="778" t="n"/>
      <c r="N412" s="779" t="n"/>
    </row>
    <row r="413" ht="13.5" customHeight="1" s="614">
      <c r="A413" s="780" t="n"/>
      <c r="B413" s="780" t="n"/>
      <c r="C413" s="781">
        <f>C409</f>
        <v/>
      </c>
      <c r="D413" s="782" t="n"/>
      <c r="E413" s="852" t="n"/>
      <c r="F413" s="784" t="n"/>
      <c r="G413" s="852" t="n"/>
      <c r="H413" s="784" t="n"/>
      <c r="I413" s="783" t="n"/>
      <c r="J413" s="784" t="n"/>
      <c r="K413" s="783" t="n"/>
      <c r="L413" s="784" t="n"/>
      <c r="M413" s="783" t="n"/>
      <c r="N413" s="784" t="n"/>
    </row>
    <row r="414" ht="13.5" customHeight="1" s="614">
      <c r="A414" s="780" t="n"/>
      <c r="B414" s="769" t="n"/>
      <c r="C414" s="785">
        <f>C407</f>
        <v/>
      </c>
      <c r="D414" s="786" t="n"/>
      <c r="E414" s="855" t="n"/>
      <c r="F414" s="788" t="n"/>
      <c r="G414" s="855" t="n"/>
      <c r="H414" s="788" t="n"/>
      <c r="I414" s="793" t="n"/>
      <c r="J414" s="788" t="n"/>
      <c r="K414" s="793" t="n"/>
      <c r="L414" s="788" t="n"/>
      <c r="M414" s="793" t="n"/>
      <c r="N414" s="788" t="n"/>
    </row>
    <row r="415" ht="13.5" customHeight="1" s="614">
      <c r="A415" s="780" t="n"/>
      <c r="B415" s="800" t="inlineStr">
        <is>
          <t>1-2</t>
        </is>
      </c>
      <c r="C415" s="776" t="inlineStr">
        <is>
          <t>電流値</t>
        </is>
      </c>
      <c r="D415" s="777" t="inlineStr">
        <is>
          <t>Ａ</t>
        </is>
      </c>
      <c r="E415" s="851" t="n"/>
      <c r="F415" s="779" t="n"/>
      <c r="G415" s="851" t="n"/>
      <c r="H415" s="779" t="n"/>
      <c r="I415" s="778" t="n"/>
      <c r="J415" s="779" t="n"/>
      <c r="K415" s="778" t="n"/>
      <c r="L415" s="779" t="n"/>
      <c r="M415" s="778" t="n"/>
      <c r="N415" s="779" t="n"/>
    </row>
    <row r="416" ht="13.5" customHeight="1" s="614">
      <c r="A416" s="780" t="n"/>
      <c r="B416" s="780" t="n"/>
      <c r="C416" s="781">
        <f>C413</f>
        <v/>
      </c>
      <c r="D416" s="782" t="n"/>
      <c r="E416" s="852" t="n"/>
      <c r="F416" s="784" t="n"/>
      <c r="G416" s="852" t="n"/>
      <c r="H416" s="784" t="n"/>
      <c r="I416" s="783" t="n"/>
      <c r="J416" s="784" t="n"/>
      <c r="K416" s="783" t="n"/>
      <c r="L416" s="784" t="n"/>
      <c r="M416" s="783" t="n"/>
      <c r="N416" s="784" t="n"/>
    </row>
    <row r="417" ht="13.5" customHeight="1" s="614">
      <c r="A417" s="780" t="n"/>
      <c r="B417" s="769" t="n"/>
      <c r="C417" s="785">
        <f>C414</f>
        <v/>
      </c>
      <c r="D417" s="786" t="n"/>
      <c r="E417" s="855" t="n"/>
      <c r="F417" s="788" t="n"/>
      <c r="G417" s="855" t="n"/>
      <c r="H417" s="788" t="n"/>
      <c r="I417" s="793" t="n"/>
      <c r="J417" s="788" t="n"/>
      <c r="K417" s="793" t="n"/>
      <c r="L417" s="788" t="n"/>
      <c r="M417" s="793" t="n"/>
      <c r="N417" s="788" t="n"/>
    </row>
    <row r="418" ht="13.5" customHeight="1" s="614">
      <c r="A418" s="799" t="inlineStr">
        <is>
          <t>曝気ブロワー</t>
        </is>
      </c>
      <c r="B418" s="801" t="inlineStr">
        <is>
          <t>№１</t>
        </is>
      </c>
      <c r="C418" s="776" t="inlineStr">
        <is>
          <t>電流値</t>
        </is>
      </c>
      <c r="D418" s="777" t="inlineStr">
        <is>
          <t>Ａ</t>
        </is>
      </c>
      <c r="E418" s="858" t="n"/>
      <c r="F418" s="824" t="n"/>
      <c r="G418" s="858" t="n"/>
      <c r="H418" s="824" t="n"/>
      <c r="I418" s="837" t="n"/>
      <c r="J418" s="824" t="n"/>
      <c r="K418" s="837" t="n"/>
      <c r="L418" s="824" t="n"/>
      <c r="M418" s="837" t="n"/>
      <c r="N418" s="824" t="n"/>
    </row>
    <row r="419" ht="13.5" customHeight="1" s="614">
      <c r="A419" s="780" t="n"/>
      <c r="B419" s="780" t="n"/>
      <c r="C419" s="781">
        <f>C416</f>
        <v/>
      </c>
      <c r="D419" s="782" t="n"/>
      <c r="E419" s="852" t="n"/>
      <c r="F419" s="784" t="n"/>
      <c r="G419" s="852" t="n"/>
      <c r="H419" s="784" t="n"/>
      <c r="I419" s="783" t="n"/>
      <c r="J419" s="784" t="n"/>
      <c r="K419" s="783" t="n"/>
      <c r="L419" s="784" t="n"/>
      <c r="M419" s="783" t="n"/>
      <c r="N419" s="784" t="n"/>
    </row>
    <row r="420" ht="13.5" customHeight="1" s="614">
      <c r="A420" s="780" t="n"/>
      <c r="B420" s="769" t="n"/>
      <c r="C420" s="785">
        <f>C417</f>
        <v/>
      </c>
      <c r="D420" s="786" t="n"/>
      <c r="E420" s="855" t="n"/>
      <c r="F420" s="788" t="n"/>
      <c r="G420" s="855" t="n"/>
      <c r="H420" s="788" t="n"/>
      <c r="I420" s="793" t="n"/>
      <c r="J420" s="788" t="n"/>
      <c r="K420" s="793" t="n"/>
      <c r="L420" s="788" t="n"/>
      <c r="M420" s="793" t="n"/>
      <c r="N420" s="788" t="n"/>
    </row>
    <row r="421" ht="13.5" customHeight="1" s="614">
      <c r="A421" s="780" t="n"/>
      <c r="B421" s="801" t="inlineStr">
        <is>
          <t>№２</t>
        </is>
      </c>
      <c r="C421" s="776" t="inlineStr">
        <is>
          <t>電流値</t>
        </is>
      </c>
      <c r="D421" s="777" t="inlineStr">
        <is>
          <t>Ａ</t>
        </is>
      </c>
      <c r="E421" s="851" t="n"/>
      <c r="F421" s="779" t="n"/>
      <c r="G421" s="851" t="n"/>
      <c r="H421" s="779" t="n"/>
      <c r="I421" s="778" t="n"/>
      <c r="J421" s="779" t="n"/>
      <c r="K421" s="778" t="n"/>
      <c r="L421" s="779" t="n"/>
      <c r="M421" s="778" t="n"/>
      <c r="N421" s="779" t="n"/>
    </row>
    <row r="422" ht="13.5" customHeight="1" s="614">
      <c r="A422" s="780" t="n"/>
      <c r="B422" s="780" t="n"/>
      <c r="C422" s="781">
        <f>C419</f>
        <v/>
      </c>
      <c r="D422" s="782" t="n"/>
      <c r="E422" s="852" t="n"/>
      <c r="F422" s="784" t="n"/>
      <c r="G422" s="852" t="n"/>
      <c r="H422" s="784" t="n"/>
      <c r="I422" s="783" t="n"/>
      <c r="J422" s="784" t="n"/>
      <c r="K422" s="783" t="n"/>
      <c r="L422" s="784" t="n"/>
      <c r="M422" s="783" t="n"/>
      <c r="N422" s="784" t="n"/>
    </row>
    <row r="423" ht="13.5" customHeight="1" s="614">
      <c r="A423" s="780" t="n"/>
      <c r="B423" s="769" t="n"/>
      <c r="C423" s="785">
        <f>C420</f>
        <v/>
      </c>
      <c r="D423" s="786" t="n"/>
      <c r="E423" s="859" t="n"/>
      <c r="F423" s="788" t="n"/>
      <c r="G423" s="859" t="n"/>
      <c r="H423" s="788" t="n"/>
      <c r="I423" s="803" t="n"/>
      <c r="J423" s="788" t="n"/>
      <c r="K423" s="803" t="n"/>
      <c r="L423" s="788" t="n"/>
      <c r="M423" s="803" t="n"/>
      <c r="N423" s="788" t="n"/>
    </row>
    <row r="424" ht="13.5" customHeight="1" s="614">
      <c r="A424" s="772" t="inlineStr">
        <is>
          <t>消泡装置</t>
        </is>
      </c>
      <c r="B424" s="768" t="inlineStr">
        <is>
          <t>―</t>
        </is>
      </c>
      <c r="C424" s="776" t="inlineStr">
        <is>
          <t>消泡ノズル</t>
        </is>
      </c>
      <c r="D424" s="777" t="n"/>
      <c r="E424" s="856" t="n"/>
      <c r="F424" s="779" t="n"/>
      <c r="G424" s="856" t="n"/>
      <c r="H424" s="779" t="n"/>
      <c r="I424" s="797" t="n"/>
      <c r="J424" s="779" t="n"/>
      <c r="K424" s="797" t="n"/>
      <c r="L424" s="779" t="n"/>
      <c r="M424" s="797" t="n"/>
      <c r="N424" s="779" t="n"/>
    </row>
    <row r="425" ht="13.5" customHeight="1" s="614">
      <c r="A425" s="769" t="n"/>
      <c r="B425" s="769" t="n"/>
      <c r="C425" s="791" t="inlineStr">
        <is>
          <t>消泡状態</t>
        </is>
      </c>
      <c r="D425" s="792" t="n"/>
      <c r="E425" s="853" t="n"/>
      <c r="F425" s="788" t="n"/>
      <c r="G425" s="853" t="n"/>
      <c r="H425" s="788" t="n"/>
      <c r="I425" s="787" t="n"/>
      <c r="J425" s="788" t="n"/>
      <c r="K425" s="787" t="n"/>
      <c r="L425" s="788" t="n"/>
      <c r="M425" s="787" t="n"/>
      <c r="N425" s="788" t="n"/>
    </row>
    <row r="426" ht="13.5" customHeight="1" s="614">
      <c r="A426" s="799" t="inlineStr">
        <is>
          <t>ディッチ流出可動堰</t>
        </is>
      </c>
      <c r="B426" s="804" t="n">
        <v>1</v>
      </c>
      <c r="C426" s="776" t="inlineStr">
        <is>
          <t>開度</t>
        </is>
      </c>
      <c r="D426" s="777" t="inlineStr">
        <is>
          <t>㎜</t>
        </is>
      </c>
      <c r="E426" s="856" t="n"/>
      <c r="F426" s="779" t="n"/>
      <c r="G426" s="856" t="n"/>
      <c r="H426" s="779" t="n"/>
      <c r="I426" s="797" t="n"/>
      <c r="J426" s="779" t="n"/>
      <c r="K426" s="797" t="n"/>
      <c r="L426" s="779" t="n"/>
      <c r="M426" s="797" t="n"/>
      <c r="N426" s="779" t="n"/>
    </row>
    <row r="427" ht="13.5" customHeight="1" s="614">
      <c r="A427" s="799" t="inlineStr">
        <is>
          <t>ディッチ流出ゲート</t>
        </is>
      </c>
      <c r="B427" s="804" t="n">
        <v>1</v>
      </c>
      <c r="C427" s="776" t="inlineStr">
        <is>
          <t>開度</t>
        </is>
      </c>
      <c r="D427" s="777" t="inlineStr">
        <is>
          <t>㎜</t>
        </is>
      </c>
      <c r="E427" s="856" t="n"/>
      <c r="F427" s="779" t="n"/>
      <c r="G427" s="856" t="n"/>
      <c r="H427" s="779" t="n"/>
      <c r="I427" s="797" t="n"/>
      <c r="J427" s="779" t="n"/>
      <c r="K427" s="797" t="n"/>
      <c r="L427" s="779" t="n"/>
      <c r="M427" s="797" t="n"/>
      <c r="N427" s="779" t="n"/>
    </row>
    <row r="428" ht="13.5" customHeight="1" s="614">
      <c r="A428" s="772" t="inlineStr">
        <is>
          <t>ディッチ連絡ゲート</t>
        </is>
      </c>
      <c r="B428" s="767" t="inlineStr">
        <is>
          <t>－</t>
        </is>
      </c>
      <c r="C428" s="773" t="inlineStr">
        <is>
          <t>開度</t>
        </is>
      </c>
      <c r="D428" s="805" t="inlineStr">
        <is>
          <t>㎜</t>
        </is>
      </c>
      <c r="E428" s="850" t="n"/>
      <c r="F428" s="627" t="n"/>
      <c r="G428" s="850" t="n"/>
      <c r="H428" s="627" t="n"/>
      <c r="I428" s="775" t="n"/>
      <c r="J428" s="627" t="n"/>
      <c r="K428" s="775" t="n"/>
      <c r="L428" s="627" t="n"/>
      <c r="M428" s="775" t="n"/>
      <c r="N428" s="627" t="n"/>
    </row>
    <row r="429" ht="13.5" customHeight="1" s="614">
      <c r="A429" s="799" t="inlineStr">
        <is>
          <t>終沈汚泥掻寄機</t>
        </is>
      </c>
      <c r="B429" s="767" t="n">
        <v>1</v>
      </c>
      <c r="C429" s="776" t="inlineStr">
        <is>
          <t>電流値</t>
        </is>
      </c>
      <c r="D429" s="777" t="inlineStr">
        <is>
          <t>Ａ</t>
        </is>
      </c>
      <c r="E429" s="860" t="n"/>
      <c r="F429" s="779" t="n"/>
      <c r="G429" s="860" t="n"/>
      <c r="H429" s="779" t="n"/>
      <c r="I429" s="806" t="n"/>
      <c r="J429" s="779" t="n"/>
      <c r="K429" s="806" t="n"/>
      <c r="L429" s="779" t="n"/>
      <c r="M429" s="806" t="n"/>
      <c r="N429" s="779" t="n"/>
    </row>
    <row r="430" ht="13.5" customHeight="1" s="614">
      <c r="A430" s="780" t="n"/>
      <c r="B430" s="769" t="n"/>
      <c r="C430" s="791" t="inlineStr">
        <is>
          <t>異音、振動等</t>
        </is>
      </c>
      <c r="D430" s="792" t="n"/>
      <c r="E430" s="853" t="n"/>
      <c r="F430" s="788" t="n"/>
      <c r="G430" s="853" t="n"/>
      <c r="H430" s="788" t="n"/>
      <c r="I430" s="787" t="n"/>
      <c r="J430" s="788" t="n"/>
      <c r="K430" s="787" t="n"/>
      <c r="L430" s="788" t="n"/>
      <c r="M430" s="787" t="n"/>
      <c r="N430" s="788" t="n"/>
    </row>
    <row r="431" ht="13.5" customHeight="1" s="614">
      <c r="A431" s="772" t="inlineStr">
        <is>
          <t>スカムスキマー</t>
        </is>
      </c>
      <c r="B431" s="767" t="n">
        <v>1</v>
      </c>
      <c r="C431" s="776" t="inlineStr">
        <is>
          <t>動作状況</t>
        </is>
      </c>
      <c r="D431" s="777" t="n"/>
      <c r="E431" s="856" t="n"/>
      <c r="F431" s="779" t="n"/>
      <c r="G431" s="856" t="n"/>
      <c r="H431" s="779" t="n"/>
      <c r="I431" s="797" t="n"/>
      <c r="J431" s="779" t="n"/>
      <c r="K431" s="797" t="n"/>
      <c r="L431" s="779" t="n"/>
      <c r="M431" s="797" t="n"/>
      <c r="N431" s="779" t="n"/>
    </row>
    <row r="432" ht="13.5" customHeight="1" s="614">
      <c r="A432" s="769" t="n"/>
      <c r="B432" s="769" t="n"/>
      <c r="C432" s="791" t="inlineStr">
        <is>
          <t>スカムの状況</t>
        </is>
      </c>
      <c r="D432" s="792" t="n"/>
      <c r="E432" s="855" t="n"/>
      <c r="F432" s="788" t="n"/>
      <c r="G432" s="855" t="n"/>
      <c r="H432" s="788" t="n"/>
      <c r="I432" s="793" t="n"/>
      <c r="J432" s="788" t="n"/>
      <c r="K432" s="793" t="n"/>
      <c r="L432" s="788" t="n"/>
      <c r="M432" s="793" t="n"/>
      <c r="N432" s="788" t="n"/>
    </row>
    <row r="433" ht="13.5" customHeight="1" s="614">
      <c r="A433" s="807" t="inlineStr">
        <is>
          <t>返送汚泥ポンプ</t>
        </is>
      </c>
      <c r="B433" s="808" t="inlineStr">
        <is>
          <t>1-1</t>
        </is>
      </c>
      <c r="C433" s="809" t="inlineStr">
        <is>
          <t>電流値</t>
        </is>
      </c>
      <c r="D433" s="810" t="inlineStr">
        <is>
          <t>Ａ</t>
        </is>
      </c>
      <c r="E433" s="858" t="n"/>
      <c r="F433" s="824" t="n"/>
      <c r="G433" s="858" t="n"/>
      <c r="H433" s="824" t="n"/>
      <c r="I433" s="837" t="n"/>
      <c r="J433" s="824" t="n"/>
      <c r="K433" s="837" t="n"/>
      <c r="L433" s="824" t="n"/>
      <c r="M433" s="837" t="n"/>
      <c r="N433" s="824" t="n"/>
    </row>
    <row r="434" ht="13.5" customHeight="1" s="614">
      <c r="A434" s="780" t="n"/>
      <c r="B434" s="780" t="n"/>
      <c r="C434" s="781" t="inlineStr">
        <is>
          <t>吐出圧力</t>
        </is>
      </c>
      <c r="D434" s="782" t="inlineStr">
        <is>
          <t>Mpa</t>
        </is>
      </c>
      <c r="E434" s="852" t="n"/>
      <c r="F434" s="784" t="n"/>
      <c r="G434" s="852" t="n"/>
      <c r="H434" s="784" t="n"/>
      <c r="I434" s="783" t="n"/>
      <c r="J434" s="784" t="n"/>
      <c r="K434" s="783" t="n"/>
      <c r="L434" s="784" t="n"/>
      <c r="M434" s="783" t="n"/>
      <c r="N434" s="784" t="n"/>
    </row>
    <row r="435" ht="13.5" customHeight="1" s="614">
      <c r="A435" s="780" t="n"/>
      <c r="B435" s="769" t="n"/>
      <c r="C435" s="785" t="inlineStr">
        <is>
          <t>異音、振動</t>
        </is>
      </c>
      <c r="D435" s="786" t="n"/>
      <c r="E435" s="855" t="n"/>
      <c r="F435" s="788" t="n"/>
      <c r="G435" s="855" t="n"/>
      <c r="H435" s="788" t="n"/>
      <c r="I435" s="793" t="n"/>
      <c r="J435" s="788" t="n"/>
      <c r="K435" s="793" t="n"/>
      <c r="L435" s="788" t="n"/>
      <c r="M435" s="793" t="n"/>
      <c r="N435" s="788" t="n"/>
    </row>
    <row r="436" ht="13.5" customHeight="1" s="614">
      <c r="A436" s="780" t="n"/>
      <c r="B436" s="800" t="inlineStr">
        <is>
          <t>1-2</t>
        </is>
      </c>
      <c r="C436" s="776" t="inlineStr">
        <is>
          <t>電流値</t>
        </is>
      </c>
      <c r="D436" s="777" t="inlineStr">
        <is>
          <t>Ａ</t>
        </is>
      </c>
      <c r="E436" s="861" t="n"/>
      <c r="F436" s="824" t="n"/>
      <c r="G436" s="861" t="n"/>
      <c r="H436" s="824" t="n"/>
      <c r="I436" s="833" t="n"/>
      <c r="J436" s="824" t="n"/>
      <c r="K436" s="833" t="n"/>
      <c r="L436" s="824" t="n"/>
      <c r="M436" s="833" t="n"/>
      <c r="N436" s="824" t="n"/>
    </row>
    <row r="437" ht="13.5" customHeight="1" s="614">
      <c r="A437" s="780" t="n"/>
      <c r="B437" s="780" t="n"/>
      <c r="C437" s="781">
        <f>C434</f>
        <v/>
      </c>
      <c r="D437" s="782" t="inlineStr">
        <is>
          <t>Mpa</t>
        </is>
      </c>
      <c r="E437" s="852" t="n"/>
      <c r="F437" s="784" t="n"/>
      <c r="G437" s="852" t="n"/>
      <c r="H437" s="784" t="n"/>
      <c r="I437" s="783" t="n"/>
      <c r="J437" s="784" t="n"/>
      <c r="K437" s="783" t="n"/>
      <c r="L437" s="784" t="n"/>
      <c r="M437" s="783" t="n"/>
      <c r="N437" s="784" t="n"/>
    </row>
    <row r="438" ht="13.5" customHeight="1" s="614">
      <c r="A438" s="780" t="n"/>
      <c r="B438" s="769" t="n"/>
      <c r="C438" s="785" t="inlineStr">
        <is>
          <t>異音、振動</t>
        </is>
      </c>
      <c r="D438" s="786" t="n"/>
      <c r="E438" s="853" t="n"/>
      <c r="F438" s="788" t="n"/>
      <c r="G438" s="853" t="n"/>
      <c r="H438" s="788" t="n"/>
      <c r="I438" s="787" t="n"/>
      <c r="J438" s="788" t="n"/>
      <c r="K438" s="787" t="n"/>
      <c r="L438" s="788" t="n"/>
      <c r="M438" s="787" t="n"/>
      <c r="N438" s="788" t="n"/>
    </row>
    <row r="439" ht="13.5" customHeight="1" s="614">
      <c r="A439" s="780" t="n"/>
      <c r="B439" s="800" t="inlineStr">
        <is>
          <t>―</t>
        </is>
      </c>
      <c r="C439" s="776" t="inlineStr">
        <is>
          <t>モード確認</t>
        </is>
      </c>
      <c r="D439" s="777" t="n"/>
      <c r="E439" s="854" t="n"/>
      <c r="F439" s="779" t="n"/>
      <c r="G439" s="854" t="n"/>
      <c r="H439" s="779" t="n"/>
      <c r="I439" s="789" t="n"/>
      <c r="J439" s="779" t="n"/>
      <c r="K439" s="789" t="n"/>
      <c r="L439" s="779" t="n"/>
      <c r="M439" s="789" t="n"/>
      <c r="N439" s="779" t="n"/>
    </row>
    <row r="440" ht="13.5" customHeight="1" s="614">
      <c r="A440" s="780" t="n"/>
      <c r="B440" s="769" t="n"/>
      <c r="C440" s="791" t="inlineStr">
        <is>
          <t>常用機選択</t>
        </is>
      </c>
      <c r="D440" s="792" t="n"/>
      <c r="E440" s="855" t="n"/>
      <c r="F440" s="788" t="n"/>
      <c r="G440" s="855" t="n"/>
      <c r="H440" s="788" t="n"/>
      <c r="I440" s="793" t="n"/>
      <c r="J440" s="788" t="n"/>
      <c r="K440" s="793" t="n"/>
      <c r="L440" s="788" t="n"/>
      <c r="M440" s="793" t="n"/>
      <c r="N440" s="788" t="n"/>
      <c r="P440" s="814" t="n"/>
      <c r="Q440" s="814" t="n"/>
      <c r="R440" s="712" t="n"/>
      <c r="S440" s="712" t="n"/>
    </row>
    <row r="441" ht="13.5" customHeight="1" s="614">
      <c r="A441" s="799" t="inlineStr">
        <is>
          <t>余剰汚泥ポンプ</t>
        </is>
      </c>
      <c r="B441" s="768" t="n">
        <v>1</v>
      </c>
      <c r="C441" s="776" t="inlineStr">
        <is>
          <t>電流値</t>
        </is>
      </c>
      <c r="D441" s="777" t="inlineStr">
        <is>
          <t>Ａ</t>
        </is>
      </c>
      <c r="E441" s="862" t="n"/>
      <c r="F441" s="779" t="n"/>
      <c r="G441" s="862" t="n"/>
      <c r="H441" s="779" t="n"/>
      <c r="I441" s="862" t="n"/>
      <c r="J441" s="779" t="n"/>
      <c r="K441" s="862" t="n"/>
      <c r="L441" s="779" t="n"/>
      <c r="M441" s="862" t="n"/>
      <c r="N441" s="779" t="n"/>
      <c r="Q441" s="863" t="n"/>
      <c r="T441" s="863" t="n"/>
    </row>
    <row r="442" ht="13.5" customHeight="1" s="614">
      <c r="A442" s="780" t="n"/>
      <c r="B442" s="780" t="n"/>
      <c r="C442" s="781">
        <f>C437</f>
        <v/>
      </c>
      <c r="D442" s="782" t="inlineStr">
        <is>
          <t>Mpa</t>
        </is>
      </c>
      <c r="E442" s="864" t="n"/>
      <c r="F442" s="784" t="n"/>
      <c r="G442" s="864" t="n"/>
      <c r="H442" s="784" t="n"/>
      <c r="I442" s="864" t="n"/>
      <c r="J442" s="784" t="n"/>
      <c r="K442" s="864" t="n"/>
      <c r="L442" s="784" t="n"/>
      <c r="M442" s="864" t="n"/>
      <c r="N442" s="784" t="n"/>
      <c r="Q442" s="865" t="n"/>
      <c r="T442" s="865" t="n"/>
    </row>
    <row r="443" ht="13.5" customHeight="1" s="614">
      <c r="A443" s="780" t="n"/>
      <c r="B443" s="780" t="n"/>
      <c r="C443" s="809" t="inlineStr">
        <is>
          <t>異音、振動</t>
        </is>
      </c>
      <c r="D443" s="810" t="n"/>
      <c r="E443" s="864" t="n"/>
      <c r="F443" s="784" t="n"/>
      <c r="G443" s="866" t="n"/>
      <c r="H443" s="784" t="n"/>
      <c r="I443" s="866" t="n"/>
      <c r="J443" s="784" t="n"/>
      <c r="K443" s="864" t="n"/>
      <c r="L443" s="784" t="n"/>
      <c r="M443" s="864" t="n"/>
      <c r="N443" s="784" t="n"/>
      <c r="Q443" s="865" t="n"/>
      <c r="T443" s="867" t="n"/>
    </row>
    <row r="444" ht="13.5" customHeight="1" s="614">
      <c r="A444" s="780" t="n"/>
      <c r="B444" s="780" t="n"/>
      <c r="C444" s="781" t="inlineStr">
        <is>
          <t>液漏れ</t>
        </is>
      </c>
      <c r="D444" s="782" t="n"/>
      <c r="E444" s="866" t="n"/>
      <c r="F444" s="784" t="n"/>
      <c r="G444" s="866" t="n"/>
      <c r="H444" s="784" t="n"/>
      <c r="I444" s="866" t="n"/>
      <c r="J444" s="784" t="n"/>
      <c r="K444" s="866" t="n"/>
      <c r="L444" s="784" t="n"/>
      <c r="M444" s="866" t="n"/>
      <c r="N444" s="784" t="n"/>
      <c r="Q444" s="867" t="n"/>
      <c r="T444" s="867" t="n"/>
    </row>
    <row r="445" ht="13.5" customHeight="1" s="614">
      <c r="A445" s="780" t="n"/>
      <c r="B445" s="769" t="n"/>
      <c r="C445" s="785" t="inlineStr">
        <is>
          <t>モード確認</t>
        </is>
      </c>
      <c r="D445" s="786" t="n"/>
      <c r="E445" s="866" t="n"/>
      <c r="F445" s="784" t="n"/>
      <c r="G445" s="866" t="n"/>
      <c r="H445" s="784" t="n"/>
      <c r="I445" s="866" t="n"/>
      <c r="J445" s="784" t="n"/>
      <c r="K445" s="866" t="n"/>
      <c r="L445" s="784" t="n"/>
      <c r="M445" s="866" t="n"/>
      <c r="N445" s="784" t="n"/>
      <c r="Q445" s="867" t="n"/>
      <c r="T445" s="867" t="n"/>
    </row>
    <row r="446" ht="13.5" customHeight="1" s="614">
      <c r="A446" s="818" t="inlineStr">
        <is>
          <t>床排水ポンプ</t>
        </is>
      </c>
      <c r="B446" s="768" t="n">
        <v>1</v>
      </c>
      <c r="C446" s="776" t="inlineStr">
        <is>
          <t>電流値</t>
        </is>
      </c>
      <c r="D446" s="777" t="inlineStr">
        <is>
          <t>Ａ</t>
        </is>
      </c>
      <c r="E446" s="851" t="n"/>
      <c r="F446" s="779" t="n"/>
      <c r="G446" s="851" t="n"/>
      <c r="H446" s="779" t="n"/>
      <c r="I446" s="778" t="n"/>
      <c r="J446" s="779" t="n"/>
      <c r="K446" s="778" t="n"/>
      <c r="L446" s="779" t="n"/>
      <c r="M446" s="778" t="n"/>
      <c r="N446" s="779" t="n"/>
    </row>
    <row r="447" ht="13.5" customHeight="1" s="614">
      <c r="A447" s="780" t="n"/>
      <c r="B447" s="780" t="n"/>
      <c r="C447" s="781" t="inlineStr">
        <is>
          <t>吐出圧力</t>
        </is>
      </c>
      <c r="D447" s="782" t="inlineStr">
        <is>
          <t>Mpa</t>
        </is>
      </c>
      <c r="E447" s="852" t="n"/>
      <c r="F447" s="784" t="n"/>
      <c r="G447" s="852" t="n"/>
      <c r="H447" s="784" t="n"/>
      <c r="I447" s="783" t="n"/>
      <c r="J447" s="784" t="n"/>
      <c r="K447" s="783" t="n"/>
      <c r="L447" s="784" t="n"/>
      <c r="M447" s="783" t="n"/>
      <c r="N447" s="784" t="n"/>
    </row>
    <row r="448" ht="13.5" customHeight="1" s="614">
      <c r="A448" s="780" t="n"/>
      <c r="B448" s="769" t="n"/>
      <c r="C448" s="785" t="inlineStr">
        <is>
          <t>異音、振動</t>
        </is>
      </c>
      <c r="D448" s="819" t="n"/>
      <c r="E448" s="855" t="n"/>
      <c r="F448" s="788" t="n"/>
      <c r="G448" s="855" t="n"/>
      <c r="H448" s="788" t="n"/>
      <c r="I448" s="793" t="n"/>
      <c r="J448" s="788" t="n"/>
      <c r="K448" s="793" t="n"/>
      <c r="L448" s="788" t="n"/>
      <c r="M448" s="793" t="n"/>
      <c r="N448" s="788" t="n"/>
    </row>
    <row r="449" ht="13.5" customHeight="1" s="614">
      <c r="A449" s="780" t="n"/>
      <c r="B449" s="768" t="n">
        <v>2</v>
      </c>
      <c r="C449" s="776" t="inlineStr">
        <is>
          <t>電流値</t>
        </is>
      </c>
      <c r="D449" s="777" t="inlineStr">
        <is>
          <t>Ａ</t>
        </is>
      </c>
      <c r="E449" s="861" t="n"/>
      <c r="F449" s="824" t="n"/>
      <c r="G449" s="861" t="n"/>
      <c r="H449" s="824" t="n"/>
      <c r="I449" s="833" t="n"/>
      <c r="J449" s="824" t="n"/>
      <c r="K449" s="837" t="n"/>
      <c r="L449" s="824" t="n"/>
      <c r="M449" s="837" t="n"/>
      <c r="N449" s="824" t="n"/>
    </row>
    <row r="450" ht="13.5" customHeight="1" s="614">
      <c r="A450" s="780" t="n"/>
      <c r="B450" s="780" t="n"/>
      <c r="C450" s="781" t="inlineStr">
        <is>
          <t>吐出圧力</t>
        </is>
      </c>
      <c r="D450" s="782" t="inlineStr">
        <is>
          <t>Mpa</t>
        </is>
      </c>
      <c r="E450" s="852" t="n"/>
      <c r="F450" s="784" t="n"/>
      <c r="G450" s="852" t="n"/>
      <c r="H450" s="784" t="n"/>
      <c r="I450" s="783" t="n"/>
      <c r="J450" s="784" t="n"/>
      <c r="K450" s="783" t="n"/>
      <c r="L450" s="784" t="n"/>
      <c r="M450" s="783" t="n"/>
      <c r="N450" s="784" t="n"/>
    </row>
    <row r="451" ht="13.5" customHeight="1" s="614">
      <c r="A451" s="780" t="n"/>
      <c r="B451" s="769" t="n"/>
      <c r="C451" s="785" t="inlineStr">
        <is>
          <t>異音、振動</t>
        </is>
      </c>
      <c r="D451" s="819" t="n"/>
      <c r="E451" s="855" t="n"/>
      <c r="F451" s="788" t="n"/>
      <c r="G451" s="855" t="n"/>
      <c r="H451" s="788" t="n"/>
      <c r="I451" s="793" t="n"/>
      <c r="J451" s="788" t="n"/>
      <c r="K451" s="793" t="n"/>
      <c r="L451" s="788" t="n"/>
      <c r="M451" s="793" t="n"/>
      <c r="N451" s="788" t="n"/>
    </row>
    <row r="452" ht="13.5" customHeight="1" s="614">
      <c r="A452" s="780" t="n"/>
      <c r="B452" s="800" t="inlineStr">
        <is>
          <t>―</t>
        </is>
      </c>
      <c r="C452" s="776" t="inlineStr">
        <is>
          <t>モード確認</t>
        </is>
      </c>
      <c r="D452" s="777" t="n"/>
      <c r="E452" s="854" t="n"/>
      <c r="F452" s="779" t="n"/>
      <c r="G452" s="854" t="n"/>
      <c r="H452" s="779" t="n"/>
      <c r="I452" s="789" t="n"/>
      <c r="J452" s="779" t="n"/>
      <c r="K452" s="789" t="n"/>
      <c r="L452" s="779" t="n"/>
      <c r="M452" s="789" t="n"/>
      <c r="N452" s="779" t="n"/>
    </row>
    <row r="453" ht="13.5" customHeight="1" s="614">
      <c r="A453" s="769" t="n"/>
      <c r="B453" s="769" t="n"/>
      <c r="C453" s="791" t="inlineStr">
        <is>
          <t>常用機選択</t>
        </is>
      </c>
      <c r="D453" s="792" t="n"/>
      <c r="E453" s="855" t="n"/>
      <c r="F453" s="788" t="n"/>
      <c r="G453" s="855" t="n"/>
      <c r="H453" s="788" t="n"/>
      <c r="I453" s="793" t="n"/>
      <c r="J453" s="788" t="n"/>
      <c r="K453" s="793" t="n"/>
      <c r="L453" s="788" t="n"/>
      <c r="M453" s="793" t="n"/>
      <c r="N453" s="788" t="n"/>
      <c r="P453" s="814" t="n"/>
      <c r="Q453" s="814" t="n"/>
      <c r="R453" s="712" t="n"/>
      <c r="S453" s="712" t="n"/>
    </row>
    <row r="454" ht="13.5" customHeight="1" s="614">
      <c r="A454" s="772" t="inlineStr">
        <is>
          <t>返流水ポンプ</t>
        </is>
      </c>
      <c r="B454" s="800" t="inlineStr">
        <is>
          <t>1</t>
        </is>
      </c>
      <c r="C454" s="776" t="inlineStr">
        <is>
          <t>電流値</t>
        </is>
      </c>
      <c r="D454" s="777" t="inlineStr">
        <is>
          <t>Ａ</t>
        </is>
      </c>
      <c r="E454" s="851" t="n"/>
      <c r="F454" s="779" t="n"/>
      <c r="G454" s="851" t="n"/>
      <c r="H454" s="779" t="n"/>
      <c r="I454" s="778" t="n"/>
      <c r="J454" s="779" t="n"/>
      <c r="K454" s="778" t="n"/>
      <c r="L454" s="779" t="n"/>
      <c r="M454" s="778" t="n"/>
      <c r="N454" s="779" t="n"/>
    </row>
    <row r="455" ht="13.5" customHeight="1" s="614">
      <c r="A455" s="780" t="n"/>
      <c r="B455" s="780" t="n"/>
      <c r="C455" s="781" t="inlineStr">
        <is>
          <t>吐出圧力</t>
        </is>
      </c>
      <c r="D455" s="782" t="inlineStr">
        <is>
          <t>Mpa</t>
        </is>
      </c>
      <c r="E455" s="852" t="n"/>
      <c r="F455" s="784" t="n"/>
      <c r="G455" s="852" t="n"/>
      <c r="H455" s="784" t="n"/>
      <c r="I455" s="783" t="n"/>
      <c r="J455" s="784" t="n"/>
      <c r="K455" s="783" t="n"/>
      <c r="L455" s="784" t="n"/>
      <c r="M455" s="783" t="n"/>
      <c r="N455" s="784" t="n"/>
    </row>
    <row r="456" ht="13.5" customHeight="1" s="614">
      <c r="A456" s="780" t="n"/>
      <c r="B456" s="769" t="n"/>
      <c r="C456" s="785" t="inlineStr">
        <is>
          <t>異音、振動</t>
        </is>
      </c>
      <c r="D456" s="786" t="n"/>
      <c r="E456" s="853" t="n"/>
      <c r="F456" s="788" t="n"/>
      <c r="G456" s="853" t="n"/>
      <c r="H456" s="788" t="n"/>
      <c r="I456" s="787" t="n"/>
      <c r="J456" s="788" t="n"/>
      <c r="K456" s="787" t="n"/>
      <c r="L456" s="788" t="n"/>
      <c r="M456" s="787" t="n"/>
      <c r="N456" s="788" t="n"/>
    </row>
    <row r="457" ht="13.5" customHeight="1" s="614">
      <c r="A457" s="780" t="n"/>
      <c r="B457" s="800" t="inlineStr">
        <is>
          <t>2</t>
        </is>
      </c>
      <c r="C457" s="776" t="inlineStr">
        <is>
          <t>電流値</t>
        </is>
      </c>
      <c r="D457" s="777" t="inlineStr">
        <is>
          <t>Ａ</t>
        </is>
      </c>
      <c r="E457" s="861" t="n"/>
      <c r="F457" s="824" t="n"/>
      <c r="G457" s="861" t="n"/>
      <c r="H457" s="824" t="n"/>
      <c r="I457" s="833" t="n"/>
      <c r="J457" s="824" t="n"/>
      <c r="K457" s="833" t="n"/>
      <c r="L457" s="824" t="n"/>
      <c r="M457" s="833" t="n"/>
      <c r="N457" s="824" t="n"/>
    </row>
    <row r="458" ht="13.5" customHeight="1" s="614">
      <c r="A458" s="780" t="n"/>
      <c r="B458" s="780" t="n"/>
      <c r="C458" s="781">
        <f>C455</f>
        <v/>
      </c>
      <c r="D458" s="782" t="inlineStr">
        <is>
          <t>Mpa</t>
        </is>
      </c>
      <c r="E458" s="852" t="n"/>
      <c r="F458" s="784" t="n"/>
      <c r="G458" s="852" t="n"/>
      <c r="H458" s="784" t="n"/>
      <c r="I458" s="783" t="n"/>
      <c r="J458" s="784" t="n"/>
      <c r="K458" s="783" t="n"/>
      <c r="L458" s="784" t="n"/>
      <c r="M458" s="783" t="n"/>
      <c r="N458" s="784" t="n"/>
    </row>
    <row r="459" ht="13.5" customHeight="1" s="614">
      <c r="A459" s="780" t="n"/>
      <c r="B459" s="769" t="n"/>
      <c r="C459" s="785" t="inlineStr">
        <is>
          <t>異音、振動</t>
        </is>
      </c>
      <c r="D459" s="786" t="n"/>
      <c r="E459" s="853" t="n"/>
      <c r="F459" s="788" t="n"/>
      <c r="G459" s="853" t="n"/>
      <c r="H459" s="788" t="n"/>
      <c r="I459" s="787" t="n"/>
      <c r="J459" s="788" t="n"/>
      <c r="K459" s="787" t="n"/>
      <c r="L459" s="788" t="n"/>
      <c r="M459" s="787" t="n"/>
      <c r="N459" s="788" t="n"/>
    </row>
    <row r="460" ht="13.5" customHeight="1" s="614">
      <c r="A460" s="780" t="n"/>
      <c r="B460" s="800" t="inlineStr">
        <is>
          <t>―</t>
        </is>
      </c>
      <c r="C460" s="776" t="inlineStr">
        <is>
          <t>モード確認</t>
        </is>
      </c>
      <c r="D460" s="777" t="n"/>
      <c r="E460" s="868" t="n"/>
      <c r="F460" s="824" t="n"/>
      <c r="G460" s="868" t="n"/>
      <c r="H460" s="824" t="n"/>
      <c r="I460" s="823" t="n"/>
      <c r="J460" s="824" t="n"/>
      <c r="K460" s="823" t="n"/>
      <c r="L460" s="824" t="n"/>
      <c r="M460" s="823" t="n"/>
      <c r="N460" s="824" t="n"/>
    </row>
    <row r="461" ht="13.5" customHeight="1" s="614">
      <c r="A461" s="769" t="n"/>
      <c r="B461" s="769" t="n"/>
      <c r="C461" s="791" t="inlineStr">
        <is>
          <t>常用機選択</t>
        </is>
      </c>
      <c r="D461" s="792" t="n"/>
      <c r="E461" s="855" t="n"/>
      <c r="F461" s="788" t="n"/>
      <c r="G461" s="855" t="n"/>
      <c r="H461" s="788" t="n"/>
      <c r="I461" s="793" t="n"/>
      <c r="J461" s="788" t="n"/>
      <c r="K461" s="793" t="n"/>
      <c r="L461" s="788" t="n"/>
      <c r="M461" s="793" t="n"/>
      <c r="N461" s="788" t="n"/>
    </row>
    <row r="462" ht="13.5" customHeight="1" s="614">
      <c r="A462" s="820" t="inlineStr">
        <is>
          <t xml:space="preserve">　○：良　　△：要注意　　×：要修理</t>
        </is>
      </c>
    </row>
    <row r="463" ht="21" customHeight="1" s="614">
      <c r="A463" s="764" t="inlineStr">
        <is>
          <t>機械設備日常点検表（２/２）</t>
        </is>
      </c>
      <c r="B463" s="674" t="n"/>
      <c r="C463" s="765" t="n"/>
      <c r="D463" s="674" t="n"/>
      <c r="E463" s="674" t="n"/>
      <c r="F463" s="674" t="n"/>
      <c r="G463" s="674" t="n"/>
      <c r="H463" s="674" t="n"/>
      <c r="I463" s="674" t="n"/>
      <c r="J463" s="674" t="n"/>
      <c r="K463" s="765">
        <f>K397</f>
        <v/>
      </c>
      <c r="L463" s="765" t="n"/>
      <c r="M463" s="765" t="n"/>
      <c r="N463" s="674" t="n"/>
    </row>
    <row r="464" ht="13.5" customHeight="1" s="614">
      <c r="A464" s="821" t="inlineStr">
        <is>
          <t>機　器　名</t>
        </is>
      </c>
      <c r="B464" s="768" t="inlineStr">
        <is>
          <t>No</t>
        </is>
      </c>
      <c r="C464" s="767" t="inlineStr">
        <is>
          <t>点 検 者</t>
        </is>
      </c>
      <c r="D464" s="627" t="n"/>
      <c r="E464" s="842" t="n"/>
      <c r="F464" s="626" t="n"/>
      <c r="G464" s="842" t="n"/>
      <c r="H464" s="626" t="n"/>
      <c r="I464" s="843" t="n"/>
      <c r="J464" s="626" t="n"/>
      <c r="K464" s="843" t="n"/>
      <c r="L464" s="626" t="n"/>
      <c r="M464" s="767" t="n"/>
      <c r="N464" s="627" t="n"/>
    </row>
    <row r="465" ht="13.5" customHeight="1" s="614">
      <c r="A465" s="769" t="n"/>
      <c r="B465" s="769" t="n"/>
      <c r="C465" s="770" t="inlineStr">
        <is>
          <t>点検内容</t>
        </is>
      </c>
      <c r="D465" s="627" t="n"/>
      <c r="E465" s="771" t="n"/>
      <c r="F465" s="627" t="n"/>
      <c r="G465" s="771" t="n"/>
      <c r="H465" s="627" t="n"/>
      <c r="I465" s="771" t="n"/>
      <c r="J465" s="627" t="n"/>
      <c r="K465" s="771" t="n"/>
      <c r="L465" s="627" t="n"/>
      <c r="M465" s="771" t="n"/>
      <c r="N465" s="627" t="n"/>
    </row>
    <row r="466" ht="13.5" customHeight="1" s="614">
      <c r="A466" s="822" t="inlineStr">
        <is>
          <t>濃縮汚泥引抜ポンプ</t>
        </is>
      </c>
      <c r="B466" s="768" t="n">
        <v>1</v>
      </c>
      <c r="C466" s="809" t="inlineStr">
        <is>
          <t>電流値</t>
        </is>
      </c>
      <c r="D466" s="810" t="inlineStr">
        <is>
          <t>Ａ</t>
        </is>
      </c>
      <c r="E466" s="797" t="n"/>
      <c r="F466" s="779" t="n"/>
      <c r="G466" s="797" t="n"/>
      <c r="H466" s="779" t="n"/>
      <c r="I466" s="797" t="n"/>
      <c r="J466" s="779" t="n"/>
      <c r="K466" s="797" t="n"/>
      <c r="L466" s="779" t="n"/>
      <c r="M466" s="797" t="n"/>
      <c r="N466" s="779" t="n"/>
      <c r="Q466" s="812" t="n"/>
      <c r="T466" s="812" t="n"/>
    </row>
    <row r="467" ht="13.5" customHeight="1" s="614">
      <c r="A467" s="780" t="n"/>
      <c r="B467" s="780" t="n"/>
      <c r="C467" s="781" t="inlineStr">
        <is>
          <t>吐出圧力</t>
        </is>
      </c>
      <c r="D467" s="782" t="inlineStr">
        <is>
          <t>Mpa</t>
        </is>
      </c>
      <c r="E467" s="783" t="n"/>
      <c r="F467" s="784" t="n"/>
      <c r="G467" s="783" t="n"/>
      <c r="H467" s="784" t="n"/>
      <c r="I467" s="783" t="n"/>
      <c r="J467" s="784" t="n"/>
      <c r="K467" s="783" t="n"/>
      <c r="L467" s="784" t="n"/>
      <c r="M467" s="783" t="n"/>
      <c r="N467" s="784" t="n"/>
      <c r="Q467" s="812" t="n"/>
      <c r="T467" s="812" t="n"/>
    </row>
    <row r="468" ht="13.5" customHeight="1" s="614">
      <c r="A468" s="780" t="n"/>
      <c r="B468" s="769" t="n"/>
      <c r="C468" s="785" t="inlineStr">
        <is>
          <t>異音、振動</t>
        </is>
      </c>
      <c r="D468" s="786" t="n"/>
      <c r="E468" s="793" t="n"/>
      <c r="F468" s="788" t="n"/>
      <c r="G468" s="793" t="n"/>
      <c r="H468" s="788" t="n"/>
      <c r="I468" s="793" t="n"/>
      <c r="J468" s="788" t="n"/>
      <c r="K468" s="787" t="n"/>
      <c r="L468" s="788" t="n"/>
      <c r="M468" s="787" t="n"/>
      <c r="N468" s="788" t="n"/>
      <c r="Q468" s="813" t="n"/>
      <c r="T468" s="812" t="n"/>
    </row>
    <row r="469" ht="13.5" customHeight="1" s="614">
      <c r="A469" s="780" t="n"/>
      <c r="B469" s="768" t="n">
        <v>2</v>
      </c>
      <c r="C469" s="776" t="inlineStr">
        <is>
          <t>電流値</t>
        </is>
      </c>
      <c r="D469" s="777" t="inlineStr">
        <is>
          <t>Ａ</t>
        </is>
      </c>
      <c r="E469" s="833" t="n"/>
      <c r="F469" s="824" t="n"/>
      <c r="G469" s="833" t="n"/>
      <c r="H469" s="824" t="n"/>
      <c r="I469" s="833" t="n"/>
      <c r="J469" s="824" t="n"/>
      <c r="K469" s="833" t="n"/>
      <c r="L469" s="824" t="n"/>
      <c r="M469" s="833" t="n"/>
      <c r="N469" s="824" t="n"/>
      <c r="Q469" s="811" t="n"/>
      <c r="T469" s="811" t="n"/>
    </row>
    <row r="470" ht="13.5" customHeight="1" s="614">
      <c r="A470" s="780" t="n"/>
      <c r="B470" s="780" t="n"/>
      <c r="C470" s="781" t="inlineStr">
        <is>
          <t>吐出圧力</t>
        </is>
      </c>
      <c r="D470" s="782" t="inlineStr">
        <is>
          <t>Mpa</t>
        </is>
      </c>
      <c r="E470" s="783" t="n"/>
      <c r="F470" s="784" t="n"/>
      <c r="G470" s="783" t="n"/>
      <c r="H470" s="784" t="n"/>
      <c r="I470" s="783" t="n"/>
      <c r="J470" s="784" t="n"/>
      <c r="K470" s="783" t="n"/>
      <c r="L470" s="784" t="n"/>
      <c r="M470" s="783" t="n"/>
      <c r="N470" s="784" t="n"/>
      <c r="Q470" s="812" t="n"/>
      <c r="T470" s="812" t="n"/>
    </row>
    <row r="471" ht="13.5" customHeight="1" s="614">
      <c r="A471" s="780" t="n"/>
      <c r="B471" s="769" t="n"/>
      <c r="C471" s="785" t="inlineStr">
        <is>
          <t>異音、振動</t>
        </is>
      </c>
      <c r="D471" s="786" t="n"/>
      <c r="E471" s="793" t="n"/>
      <c r="F471" s="788" t="n"/>
      <c r="G471" s="793" t="n"/>
      <c r="H471" s="788" t="n"/>
      <c r="I471" s="793" t="n"/>
      <c r="J471" s="788" t="n"/>
      <c r="K471" s="787" t="n"/>
      <c r="L471" s="788" t="n"/>
      <c r="M471" s="787" t="n"/>
      <c r="N471" s="788" t="n"/>
      <c r="Q471" s="813" t="n"/>
      <c r="T471" s="812" t="n"/>
    </row>
    <row r="472" ht="13.5" customHeight="1" s="614">
      <c r="A472" s="780" t="n"/>
      <c r="B472" s="768" t="inlineStr">
        <is>
          <t>―</t>
        </is>
      </c>
      <c r="C472" s="776" t="inlineStr">
        <is>
          <t>モード確認</t>
        </is>
      </c>
      <c r="D472" s="777" t="n"/>
      <c r="E472" s="823" t="n"/>
      <c r="F472" s="824" t="n"/>
      <c r="G472" s="823" t="n"/>
      <c r="H472" s="824" t="n"/>
      <c r="I472" s="823" t="n"/>
      <c r="J472" s="824" t="n"/>
      <c r="K472" s="823" t="n"/>
      <c r="L472" s="824" t="n"/>
      <c r="M472" s="823" t="n"/>
      <c r="N472" s="824" t="n"/>
      <c r="Q472" s="813" t="n"/>
      <c r="T472" s="813" t="n"/>
    </row>
    <row r="473" ht="13.5" customHeight="1" s="614">
      <c r="A473" s="769" t="n"/>
      <c r="B473" s="769" t="n"/>
      <c r="C473" s="791" t="inlineStr">
        <is>
          <t>常用機選択</t>
        </is>
      </c>
      <c r="D473" s="792" t="n"/>
      <c r="E473" s="793" t="n"/>
      <c r="F473" s="788" t="n"/>
      <c r="G473" s="793" t="n"/>
      <c r="H473" s="788" t="n"/>
      <c r="I473" s="793" t="n"/>
      <c r="J473" s="788" t="n"/>
      <c r="K473" s="793" t="n"/>
      <c r="L473" s="788" t="n"/>
      <c r="M473" s="793" t="n"/>
      <c r="N473" s="788" t="n"/>
      <c r="Q473" s="813" t="n"/>
      <c r="T473" s="813" t="n"/>
    </row>
    <row r="474" ht="13.5" customHeight="1" s="614">
      <c r="A474" s="772" t="inlineStr">
        <is>
          <t>濃縮汚泥掻寄機</t>
        </is>
      </c>
      <c r="B474" s="768" t="inlineStr">
        <is>
          <t>―</t>
        </is>
      </c>
      <c r="C474" s="825" t="inlineStr">
        <is>
          <t>電流値</t>
        </is>
      </c>
      <c r="D474" s="777" t="inlineStr">
        <is>
          <t>Ａ</t>
        </is>
      </c>
      <c r="E474" s="869" t="n"/>
      <c r="F474" s="824" t="n"/>
      <c r="G474" s="869" t="n"/>
      <c r="H474" s="824" t="n"/>
      <c r="I474" s="870" t="n"/>
      <c r="J474" s="824" t="n"/>
      <c r="K474" s="870" t="n"/>
      <c r="L474" s="824" t="n"/>
      <c r="M474" s="870" t="n"/>
      <c r="N474" s="824" t="n"/>
    </row>
    <row r="475" ht="13.5" customHeight="1" s="614">
      <c r="A475" s="780" t="n"/>
      <c r="B475" s="780" t="n"/>
      <c r="C475" s="781" t="inlineStr">
        <is>
          <t>異音、振動</t>
        </is>
      </c>
      <c r="D475" s="782" t="n"/>
      <c r="E475" s="852" t="n"/>
      <c r="F475" s="784" t="n"/>
      <c r="G475" s="852" t="n"/>
      <c r="H475" s="784" t="n"/>
      <c r="I475" s="783" t="n"/>
      <c r="J475" s="784" t="n"/>
      <c r="K475" s="783" t="n"/>
      <c r="L475" s="784" t="n"/>
      <c r="M475" s="783" t="n"/>
      <c r="N475" s="784" t="n"/>
    </row>
    <row r="476" ht="13.5" customHeight="1" s="614">
      <c r="A476" s="769" t="n"/>
      <c r="B476" s="769" t="n"/>
      <c r="C476" s="785" t="inlineStr">
        <is>
          <t>モード確認</t>
        </is>
      </c>
      <c r="D476" s="786" t="n"/>
      <c r="E476" s="855" t="n"/>
      <c r="F476" s="788" t="n"/>
      <c r="G476" s="855" t="n"/>
      <c r="H476" s="788" t="n"/>
      <c r="I476" s="793" t="n"/>
      <c r="J476" s="788" t="n"/>
      <c r="K476" s="793" t="n"/>
      <c r="L476" s="788" t="n"/>
      <c r="M476" s="793" t="n"/>
      <c r="N476" s="788" t="n"/>
    </row>
    <row r="477" ht="13.5" customHeight="1" s="614">
      <c r="A477" s="795" t="inlineStr">
        <is>
          <t>スカムスキマー</t>
        </is>
      </c>
      <c r="B477" s="796" t="inlineStr">
        <is>
          <t>―</t>
        </is>
      </c>
      <c r="C477" s="825" t="inlineStr">
        <is>
          <t>動作状況</t>
        </is>
      </c>
      <c r="D477" s="829" t="n"/>
      <c r="E477" s="856" t="n"/>
      <c r="F477" s="779" t="n"/>
      <c r="G477" s="856" t="n"/>
      <c r="H477" s="779" t="n"/>
      <c r="I477" s="797" t="n"/>
      <c r="J477" s="779" t="n"/>
      <c r="K477" s="797" t="n"/>
      <c r="L477" s="779" t="n"/>
      <c r="M477" s="797" t="n"/>
      <c r="N477" s="779" t="n"/>
    </row>
    <row r="478" ht="13.5" customHeight="1" s="614">
      <c r="A478" s="769" t="n"/>
      <c r="B478" s="769" t="n"/>
      <c r="C478" s="785" t="inlineStr">
        <is>
          <t>スカムの状況</t>
        </is>
      </c>
      <c r="D478" s="786" t="n"/>
      <c r="E478" s="871" t="n"/>
      <c r="F478" s="654" t="n"/>
      <c r="G478" s="871" t="n"/>
      <c r="H478" s="654" t="n"/>
      <c r="I478" s="828" t="n"/>
      <c r="J478" s="654" t="n"/>
      <c r="K478" s="828" t="n"/>
      <c r="L478" s="654" t="n"/>
      <c r="M478" s="828" t="n"/>
      <c r="N478" s="654" t="n"/>
    </row>
    <row r="479" ht="13.5" customHeight="1" s="614">
      <c r="A479" s="799" t="inlineStr">
        <is>
          <t>濃縮汚泥攪拌機</t>
        </is>
      </c>
      <c r="B479" s="804" t="inlineStr">
        <is>
          <t>―</t>
        </is>
      </c>
      <c r="C479" s="825" t="inlineStr">
        <is>
          <t>電流値</t>
        </is>
      </c>
      <c r="D479" s="777" t="inlineStr">
        <is>
          <t>Ａ</t>
        </is>
      </c>
      <c r="E479" s="778" t="n"/>
      <c r="F479" s="779" t="n"/>
      <c r="G479" s="778" t="n"/>
      <c r="H479" s="779" t="n"/>
      <c r="I479" s="778" t="n"/>
      <c r="J479" s="779" t="n"/>
      <c r="K479" s="778" t="n"/>
      <c r="L479" s="779" t="n"/>
      <c r="M479" s="778" t="n"/>
      <c r="N479" s="779" t="n"/>
    </row>
    <row r="480" ht="13.5" customHeight="1" s="614">
      <c r="A480" s="780" t="n"/>
      <c r="B480" s="780" t="n"/>
      <c r="C480" s="781" t="inlineStr">
        <is>
          <t>異音、振動</t>
        </is>
      </c>
      <c r="D480" s="782" t="n"/>
      <c r="E480" s="798" t="n"/>
      <c r="F480" s="784" t="n"/>
      <c r="G480" s="783" t="n"/>
      <c r="H480" s="784" t="n"/>
      <c r="I480" s="783" t="n"/>
      <c r="J480" s="784" t="n"/>
      <c r="K480" s="798" t="n"/>
      <c r="L480" s="784" t="n"/>
      <c r="M480" s="798" t="n"/>
      <c r="N480" s="784" t="n"/>
    </row>
    <row r="481" ht="13.5" customHeight="1" s="614">
      <c r="A481" s="780" t="n"/>
      <c r="B481" s="780" t="n"/>
      <c r="C481" s="809" t="inlineStr">
        <is>
          <t>モード確認</t>
        </is>
      </c>
      <c r="D481" s="810" t="n"/>
      <c r="E481" s="793" t="n"/>
      <c r="F481" s="788" t="n"/>
      <c r="G481" s="793" t="n"/>
      <c r="H481" s="788" t="n"/>
      <c r="I481" s="793" t="n"/>
      <c r="J481" s="788" t="n"/>
      <c r="K481" s="793" t="n"/>
      <c r="L481" s="788" t="n"/>
      <c r="M481" s="793" t="n"/>
      <c r="N481" s="788" t="n"/>
    </row>
    <row r="482" ht="13.5" customHeight="1" s="614">
      <c r="A482" s="818" t="inlineStr">
        <is>
          <t>濃縮汚泥曝気ﾌﾞﾛﾜ</t>
        </is>
      </c>
      <c r="B482" s="768" t="inlineStr">
        <is>
          <t>―</t>
        </is>
      </c>
      <c r="C482" s="825" t="inlineStr">
        <is>
          <t>電流値</t>
        </is>
      </c>
      <c r="D482" s="829" t="inlineStr">
        <is>
          <t>Ａ</t>
        </is>
      </c>
      <c r="E482" s="797" t="n"/>
      <c r="F482" s="779" t="n"/>
      <c r="G482" s="797" t="n"/>
      <c r="H482" s="779" t="n"/>
      <c r="I482" s="797" t="n"/>
      <c r="J482" s="779" t="n"/>
      <c r="K482" s="797" t="n"/>
      <c r="L482" s="779" t="n"/>
      <c r="M482" s="797" t="n"/>
      <c r="N482" s="779" t="n"/>
    </row>
    <row r="483" ht="13.5" customHeight="1" s="614">
      <c r="A483" s="780" t="n"/>
      <c r="B483" s="780" t="n"/>
      <c r="C483" s="781" t="inlineStr">
        <is>
          <t>異音、振動</t>
        </is>
      </c>
      <c r="D483" s="782" t="n"/>
      <c r="E483" s="798" t="n"/>
      <c r="F483" s="784" t="n"/>
      <c r="G483" s="783" t="n"/>
      <c r="H483" s="784" t="n"/>
      <c r="I483" s="783" t="n"/>
      <c r="J483" s="784" t="n"/>
      <c r="K483" s="798" t="n"/>
      <c r="L483" s="784" t="n"/>
      <c r="M483" s="798" t="n"/>
      <c r="N483" s="784" t="n"/>
    </row>
    <row r="484" ht="13.5" customHeight="1" s="614">
      <c r="A484" s="769" t="n"/>
      <c r="B484" s="769" t="n"/>
      <c r="C484" s="791" t="inlineStr">
        <is>
          <t>モード確認</t>
        </is>
      </c>
      <c r="D484" s="792" t="n"/>
      <c r="E484" s="793" t="n"/>
      <c r="F484" s="788" t="n"/>
      <c r="G484" s="793" t="n"/>
      <c r="H484" s="788" t="n"/>
      <c r="I484" s="793" t="n"/>
      <c r="J484" s="788" t="n"/>
      <c r="K484" s="793" t="n"/>
      <c r="L484" s="788" t="n"/>
      <c r="M484" s="793" t="n"/>
      <c r="N484" s="788" t="n"/>
    </row>
    <row r="485" ht="13.5" customHeight="1" s="614">
      <c r="A485" s="807" t="inlineStr">
        <is>
          <t>自動給水装置</t>
        </is>
      </c>
      <c r="B485" s="796" t="n">
        <v>1</v>
      </c>
      <c r="C485" s="809" t="inlineStr">
        <is>
          <t>電流値</t>
        </is>
      </c>
      <c r="D485" s="810" t="inlineStr">
        <is>
          <t>Ａ</t>
        </is>
      </c>
      <c r="E485" s="872" t="n"/>
      <c r="F485" s="824" t="n"/>
      <c r="G485" s="872" t="n"/>
      <c r="H485" s="824" t="n"/>
      <c r="I485" s="830" t="n"/>
      <c r="J485" s="824" t="n"/>
      <c r="K485" s="830" t="n"/>
      <c r="L485" s="824" t="n"/>
      <c r="M485" s="830" t="n"/>
      <c r="N485" s="824" t="n"/>
    </row>
    <row r="486" ht="13.5" customHeight="1" s="614">
      <c r="A486" s="780" t="n"/>
      <c r="B486" s="769" t="n"/>
      <c r="C486" s="791" t="inlineStr">
        <is>
          <t>異音、振動等</t>
        </is>
      </c>
      <c r="D486" s="792" t="n"/>
      <c r="E486" s="855" t="n"/>
      <c r="F486" s="788" t="n"/>
      <c r="G486" s="855" t="n"/>
      <c r="H486" s="788" t="n"/>
      <c r="I486" s="793" t="n"/>
      <c r="J486" s="788" t="n"/>
      <c r="K486" s="793" t="n"/>
      <c r="L486" s="788" t="n"/>
      <c r="M486" s="793" t="n"/>
      <c r="N486" s="788" t="n"/>
    </row>
    <row r="487" ht="13.5" customHeight="1" s="614">
      <c r="A487" s="780" t="n"/>
      <c r="B487" s="767" t="n">
        <v>2</v>
      </c>
      <c r="C487" s="776" t="inlineStr">
        <is>
          <t>電流値</t>
        </is>
      </c>
      <c r="D487" s="777" t="inlineStr">
        <is>
          <t>Ａ</t>
        </is>
      </c>
      <c r="E487" s="872" t="n"/>
      <c r="F487" s="824" t="n"/>
      <c r="G487" s="872" t="n"/>
      <c r="H487" s="824" t="n"/>
      <c r="I487" s="830" t="n"/>
      <c r="J487" s="824" t="n"/>
      <c r="K487" s="830" t="n"/>
      <c r="L487" s="824" t="n"/>
      <c r="M487" s="830" t="n"/>
      <c r="N487" s="824" t="n"/>
    </row>
    <row r="488" ht="13.5" customHeight="1" s="614">
      <c r="A488" s="780" t="n"/>
      <c r="B488" s="769" t="n"/>
      <c r="C488" s="791" t="inlineStr">
        <is>
          <t>異音、振動等</t>
        </is>
      </c>
      <c r="D488" s="792" t="n"/>
      <c r="E488" s="855" t="n"/>
      <c r="F488" s="788" t="n"/>
      <c r="G488" s="855" t="n"/>
      <c r="H488" s="788" t="n"/>
      <c r="I488" s="793" t="n"/>
      <c r="J488" s="788" t="n"/>
      <c r="K488" s="793" t="n"/>
      <c r="L488" s="788" t="n"/>
      <c r="M488" s="793" t="n"/>
      <c r="N488" s="788" t="n"/>
    </row>
    <row r="489" ht="13.5" customHeight="1" s="614">
      <c r="A489" s="780" t="n"/>
      <c r="B489" s="804" t="inlineStr">
        <is>
          <t>―</t>
        </is>
      </c>
      <c r="C489" s="776" t="inlineStr">
        <is>
          <t>モード確認</t>
        </is>
      </c>
      <c r="D489" s="777" t="n"/>
      <c r="E489" s="873" t="n"/>
      <c r="F489" s="627" t="n"/>
      <c r="G489" s="873" t="n"/>
      <c r="H489" s="627" t="n"/>
      <c r="I489" s="831" t="n"/>
      <c r="J489" s="627" t="n"/>
      <c r="K489" s="831" t="n"/>
      <c r="L489" s="627" t="n"/>
      <c r="M489" s="831" t="n"/>
      <c r="N489" s="627" t="n"/>
      <c r="P489" s="712" t="n"/>
      <c r="Q489" s="712" t="n"/>
      <c r="R489" s="712" t="n"/>
    </row>
    <row r="490" ht="13.5" customHeight="1" s="614">
      <c r="A490" s="772" t="inlineStr">
        <is>
          <t>混和池ＢＧ</t>
        </is>
      </c>
      <c r="B490" s="768" t="inlineStr">
        <is>
          <t>―</t>
        </is>
      </c>
      <c r="C490" s="832" t="inlineStr">
        <is>
          <t>開閉</t>
        </is>
      </c>
      <c r="D490" s="627" t="n"/>
      <c r="E490" s="873" t="n"/>
      <c r="F490" s="627" t="n"/>
      <c r="G490" s="873" t="n"/>
      <c r="H490" s="627" t="n"/>
      <c r="I490" s="831" t="n"/>
      <c r="J490" s="627" t="n"/>
      <c r="K490" s="831" t="n"/>
      <c r="L490" s="627" t="n"/>
      <c r="M490" s="831" t="n"/>
      <c r="N490" s="627" t="n"/>
      <c r="P490" s="712" t="n"/>
      <c r="Q490" s="712" t="n"/>
    </row>
    <row r="491" ht="13.5" customHeight="1" s="614">
      <c r="A491" s="772" t="inlineStr">
        <is>
          <t>塩素接触装置</t>
        </is>
      </c>
      <c r="B491" s="768" t="inlineStr">
        <is>
          <t>―</t>
        </is>
      </c>
      <c r="C491" s="773" t="inlineStr">
        <is>
          <t>薬剤残量確認</t>
        </is>
      </c>
      <c r="D491" s="805" t="n"/>
      <c r="E491" s="850" t="n"/>
      <c r="F491" s="627" t="n"/>
      <c r="G491" s="850" t="n"/>
      <c r="H491" s="627" t="n"/>
      <c r="I491" s="775" t="n"/>
      <c r="J491" s="627" t="n"/>
      <c r="K491" s="775" t="n"/>
      <c r="L491" s="627" t="n"/>
      <c r="M491" s="775" t="n"/>
      <c r="N491" s="627" t="n"/>
    </row>
    <row r="492" ht="13.5" customHeight="1" s="614">
      <c r="A492" s="772" t="inlineStr">
        <is>
          <t>脱臭ファン</t>
        </is>
      </c>
      <c r="B492" s="768" t="inlineStr">
        <is>
          <t>―</t>
        </is>
      </c>
      <c r="C492" s="776" t="inlineStr">
        <is>
          <t>電流値</t>
        </is>
      </c>
      <c r="D492" s="777" t="inlineStr">
        <is>
          <t>Ａ</t>
        </is>
      </c>
      <c r="E492" s="861" t="n"/>
      <c r="F492" s="824" t="n"/>
      <c r="G492" s="861" t="n"/>
      <c r="H492" s="824" t="n"/>
      <c r="I492" s="833" t="n"/>
      <c r="J492" s="824" t="n"/>
      <c r="K492" s="833" t="n"/>
      <c r="L492" s="824" t="n"/>
      <c r="M492" s="833" t="n"/>
      <c r="N492" s="824" t="n"/>
    </row>
    <row r="493" ht="13.5" customHeight="1" s="614">
      <c r="A493" s="780" t="n"/>
      <c r="B493" s="780" t="n"/>
      <c r="C493" s="834" t="inlineStr">
        <is>
          <t>ボルト・ナットの緩み</t>
        </is>
      </c>
      <c r="D493" s="784" t="n"/>
      <c r="E493" s="852" t="n"/>
      <c r="F493" s="784" t="n"/>
      <c r="G493" s="852" t="n"/>
      <c r="H493" s="784" t="n"/>
      <c r="I493" s="783" t="n"/>
      <c r="J493" s="784" t="n"/>
      <c r="K493" s="783" t="n"/>
      <c r="L493" s="784" t="n"/>
      <c r="M493" s="783" t="n"/>
      <c r="N493" s="784" t="n"/>
    </row>
    <row r="494" ht="13.5" customHeight="1" s="614">
      <c r="A494" s="769" t="n"/>
      <c r="B494" s="769" t="n"/>
      <c r="C494" s="835" t="inlineStr">
        <is>
          <t>モード確認</t>
        </is>
      </c>
      <c r="D494" s="654" t="n"/>
      <c r="E494" s="855" t="n"/>
      <c r="F494" s="788" t="n"/>
      <c r="G494" s="855" t="n"/>
      <c r="H494" s="788" t="n"/>
      <c r="I494" s="793" t="n"/>
      <c r="J494" s="788" t="n"/>
      <c r="K494" s="793" t="n"/>
      <c r="L494" s="788" t="n"/>
      <c r="M494" s="793" t="n"/>
      <c r="N494" s="788" t="n"/>
    </row>
    <row r="495" ht="13.5" customHeight="1" s="614">
      <c r="A495" s="772" t="inlineStr">
        <is>
          <t>水処理用ﾀﾞﾝﾊﾟ</t>
        </is>
      </c>
      <c r="B495" s="768" t="inlineStr">
        <is>
          <t>―</t>
        </is>
      </c>
      <c r="C495" s="836" t="inlineStr">
        <is>
          <t>異音、振動</t>
        </is>
      </c>
      <c r="D495" s="779" t="n"/>
      <c r="E495" s="858" t="n"/>
      <c r="F495" s="824" t="n"/>
      <c r="G495" s="858" t="n"/>
      <c r="H495" s="824" t="n"/>
      <c r="I495" s="837" t="n"/>
      <c r="J495" s="824" t="n"/>
      <c r="K495" s="837" t="n"/>
      <c r="L495" s="824" t="n"/>
      <c r="M495" s="837" t="n"/>
      <c r="N495" s="824" t="n"/>
      <c r="P495" s="712" t="n"/>
      <c r="Q495" s="712" t="n"/>
    </row>
    <row r="496" ht="13.5" customHeight="1" s="614">
      <c r="A496" s="769" t="n"/>
      <c r="B496" s="769" t="n"/>
      <c r="C496" s="838" t="inlineStr">
        <is>
          <t>モード確認</t>
        </is>
      </c>
      <c r="D496" s="788" t="n"/>
      <c r="E496" s="855" t="n"/>
      <c r="F496" s="788" t="n"/>
      <c r="G496" s="855" t="n"/>
      <c r="H496" s="788" t="n"/>
      <c r="I496" s="793" t="n"/>
      <c r="J496" s="788" t="n"/>
      <c r="K496" s="793" t="n"/>
      <c r="L496" s="788" t="n"/>
      <c r="M496" s="793" t="n"/>
      <c r="N496" s="788" t="n"/>
    </row>
    <row r="497" ht="13.5" customHeight="1" s="614">
      <c r="A497" s="772" t="inlineStr">
        <is>
          <t>汚泥処理用ﾀﾞﾝﾊﾟ</t>
        </is>
      </c>
      <c r="B497" s="768" t="inlineStr">
        <is>
          <t>―</t>
        </is>
      </c>
      <c r="C497" s="825" t="inlineStr">
        <is>
          <t>異音、振動</t>
        </is>
      </c>
      <c r="D497" s="829" t="n"/>
      <c r="E497" s="858" t="n"/>
      <c r="F497" s="824" t="n"/>
      <c r="G497" s="858" t="n"/>
      <c r="H497" s="824" t="n"/>
      <c r="I497" s="837" t="n"/>
      <c r="J497" s="824" t="n"/>
      <c r="K497" s="837" t="n"/>
      <c r="L497" s="824" t="n"/>
      <c r="M497" s="837" t="n"/>
      <c r="N497" s="824" t="n"/>
    </row>
    <row r="498" ht="13.5" customHeight="1" s="614">
      <c r="A498" s="769" t="n"/>
      <c r="B498" s="769" t="n"/>
      <c r="C498" s="791" t="inlineStr">
        <is>
          <t>モード確認</t>
        </is>
      </c>
      <c r="D498" s="792" t="n"/>
      <c r="E498" s="855" t="n"/>
      <c r="F498" s="788" t="n"/>
      <c r="G498" s="855" t="n"/>
      <c r="H498" s="788" t="n"/>
      <c r="I498" s="793" t="n"/>
      <c r="J498" s="788" t="n"/>
      <c r="K498" s="793" t="n"/>
      <c r="L498" s="788" t="n"/>
      <c r="M498" s="793" t="n"/>
      <c r="N498" s="788" t="n"/>
    </row>
    <row r="499" ht="13.5" customHeight="1" s="614">
      <c r="A499" s="772" t="inlineStr">
        <is>
          <t>吸着脱装置</t>
        </is>
      </c>
      <c r="B499" s="768" t="inlineStr">
        <is>
          <t>―</t>
        </is>
      </c>
      <c r="C499" s="836" t="inlineStr">
        <is>
          <t>マノメータ等の作動確認</t>
        </is>
      </c>
      <c r="D499" s="779" t="n"/>
      <c r="E499" s="858" t="n"/>
      <c r="F499" s="824" t="n"/>
      <c r="G499" s="858" t="n"/>
      <c r="H499" s="824" t="n"/>
      <c r="I499" s="837" t="n"/>
      <c r="J499" s="824" t="n"/>
      <c r="K499" s="837" t="n"/>
      <c r="L499" s="824" t="n"/>
      <c r="M499" s="837" t="n"/>
      <c r="N499" s="824" t="n"/>
    </row>
    <row r="500" ht="13.5" customHeight="1" s="614">
      <c r="A500" s="769" t="n"/>
      <c r="B500" s="769" t="n"/>
      <c r="C500" s="838">
        <f>C497</f>
        <v/>
      </c>
      <c r="D500" s="788" t="n"/>
      <c r="E500" s="853" t="n"/>
      <c r="F500" s="788" t="n"/>
      <c r="G500" s="853" t="n"/>
      <c r="H500" s="788" t="n"/>
      <c r="I500" s="787" t="n"/>
      <c r="J500" s="788" t="n"/>
      <c r="K500" s="787" t="n"/>
      <c r="L500" s="788" t="n"/>
      <c r="M500" s="787" t="n"/>
      <c r="N500" s="788" t="n"/>
      <c r="P500" s="712" t="n"/>
      <c r="Q500" s="712" t="n"/>
      <c r="R500" s="712" t="n"/>
    </row>
    <row r="501" ht="13.5" customHeight="1" s="614">
      <c r="A501" s="772" t="inlineStr">
        <is>
          <t>自家発室給気ファン</t>
        </is>
      </c>
      <c r="B501" s="768" t="inlineStr">
        <is>
          <t>―</t>
        </is>
      </c>
      <c r="C501" s="825" t="inlineStr">
        <is>
          <t>異音、振動</t>
        </is>
      </c>
      <c r="D501" s="829" t="n"/>
      <c r="E501" s="858" t="n"/>
      <c r="F501" s="824" t="n"/>
      <c r="G501" s="858" t="n"/>
      <c r="H501" s="824" t="n"/>
      <c r="I501" s="837" t="n"/>
      <c r="J501" s="824" t="n"/>
      <c r="K501" s="837" t="n"/>
      <c r="L501" s="824" t="n"/>
      <c r="M501" s="837" t="n"/>
      <c r="N501" s="824" t="n"/>
    </row>
    <row r="502" ht="13.5" customHeight="1" s="614">
      <c r="A502" s="769" t="n"/>
      <c r="B502" s="769" t="n"/>
      <c r="C502" s="791" t="inlineStr">
        <is>
          <t>モード確認</t>
        </is>
      </c>
      <c r="D502" s="792" t="n"/>
      <c r="E502" s="855" t="n"/>
      <c r="F502" s="788" t="n"/>
      <c r="G502" s="855" t="n"/>
      <c r="H502" s="788" t="n"/>
      <c r="I502" s="793" t="n"/>
      <c r="J502" s="788" t="n"/>
      <c r="K502" s="793" t="n"/>
      <c r="L502" s="788" t="n"/>
      <c r="M502" s="793" t="n"/>
      <c r="N502" s="788" t="n"/>
    </row>
    <row r="503" ht="13.5" customHeight="1" s="614">
      <c r="A503" s="772" t="inlineStr">
        <is>
          <t>自家発室排気ファン</t>
        </is>
      </c>
      <c r="B503" s="768" t="inlineStr">
        <is>
          <t>―</t>
        </is>
      </c>
      <c r="C503" s="825" t="inlineStr">
        <is>
          <t>異音、振動</t>
        </is>
      </c>
      <c r="D503" s="829" t="n"/>
      <c r="E503" s="858" t="n"/>
      <c r="F503" s="824" t="n"/>
      <c r="G503" s="858" t="n"/>
      <c r="H503" s="824" t="n"/>
      <c r="I503" s="837" t="n"/>
      <c r="J503" s="824" t="n"/>
      <c r="K503" s="837" t="n"/>
      <c r="L503" s="824" t="n"/>
      <c r="M503" s="837" t="n"/>
      <c r="N503" s="824" t="n"/>
    </row>
    <row r="504" ht="13.5" customHeight="1" s="614">
      <c r="A504" s="769" t="n"/>
      <c r="B504" s="769" t="n"/>
      <c r="C504" s="791" t="inlineStr">
        <is>
          <t>モード確認</t>
        </is>
      </c>
      <c r="D504" s="792" t="n"/>
      <c r="E504" s="855" t="n"/>
      <c r="F504" s="788" t="n"/>
      <c r="G504" s="855" t="n"/>
      <c r="H504" s="788" t="n"/>
      <c r="I504" s="793" t="n"/>
      <c r="J504" s="788" t="n"/>
      <c r="K504" s="793" t="n"/>
      <c r="L504" s="788" t="n"/>
      <c r="M504" s="793" t="n"/>
      <c r="N504" s="788" t="n"/>
    </row>
    <row r="505" ht="13.5" customHeight="1" s="614">
      <c r="A505" s="772" t="inlineStr">
        <is>
          <t>汚泥ポンプ室給気ファン</t>
        </is>
      </c>
      <c r="B505" s="768" t="inlineStr">
        <is>
          <t>―</t>
        </is>
      </c>
      <c r="C505" s="825" t="inlineStr">
        <is>
          <t>異音、振動</t>
        </is>
      </c>
      <c r="D505" s="829" t="n"/>
      <c r="E505" s="858" t="n"/>
      <c r="F505" s="824" t="n"/>
      <c r="G505" s="858" t="n"/>
      <c r="H505" s="824" t="n"/>
      <c r="I505" s="837" t="n"/>
      <c r="J505" s="824" t="n"/>
      <c r="K505" s="837" t="n"/>
      <c r="L505" s="824" t="n"/>
      <c r="M505" s="837" t="n"/>
      <c r="N505" s="824" t="n"/>
    </row>
    <row r="506" ht="13.5" customHeight="1" s="614">
      <c r="A506" s="769" t="n"/>
      <c r="B506" s="769" t="n"/>
      <c r="C506" s="791" t="inlineStr">
        <is>
          <t>モード確認</t>
        </is>
      </c>
      <c r="D506" s="792" t="n"/>
      <c r="E506" s="855" t="n"/>
      <c r="F506" s="788" t="n"/>
      <c r="G506" s="855" t="n"/>
      <c r="H506" s="788" t="n"/>
      <c r="I506" s="793" t="n"/>
      <c r="J506" s="788" t="n"/>
      <c r="K506" s="793" t="n"/>
      <c r="L506" s="788" t="n"/>
      <c r="M506" s="793" t="n"/>
      <c r="N506" s="788" t="n"/>
    </row>
    <row r="507" ht="13.5" customHeight="1" s="614">
      <c r="A507" s="772" t="inlineStr">
        <is>
          <t>汚泥ポンプ室排気ファン</t>
        </is>
      </c>
      <c r="B507" s="768" t="inlineStr">
        <is>
          <t>―</t>
        </is>
      </c>
      <c r="C507" s="825" t="inlineStr">
        <is>
          <t>異音、振動</t>
        </is>
      </c>
      <c r="D507" s="829" t="n"/>
      <c r="E507" s="858" t="n"/>
      <c r="F507" s="824" t="n"/>
      <c r="G507" s="858" t="n"/>
      <c r="H507" s="824" t="n"/>
      <c r="I507" s="837" t="n"/>
      <c r="J507" s="824" t="n"/>
      <c r="K507" s="837" t="n"/>
      <c r="L507" s="824" t="n"/>
      <c r="M507" s="837" t="n"/>
      <c r="N507" s="824" t="n"/>
    </row>
    <row r="508" ht="13.5" customHeight="1" s="614">
      <c r="A508" s="769" t="n"/>
      <c r="B508" s="769" t="n"/>
      <c r="C508" s="791" t="inlineStr">
        <is>
          <t>モード確認</t>
        </is>
      </c>
      <c r="D508" s="792" t="n"/>
      <c r="E508" s="855" t="n"/>
      <c r="F508" s="788" t="n"/>
      <c r="G508" s="855" t="n"/>
      <c r="H508" s="788" t="n"/>
      <c r="I508" s="793" t="n"/>
      <c r="J508" s="788" t="n"/>
      <c r="K508" s="793" t="n"/>
      <c r="L508" s="788" t="n"/>
      <c r="M508" s="793" t="n"/>
      <c r="N508" s="788" t="n"/>
    </row>
    <row r="509" ht="13.5" customHeight="1" s="614">
      <c r="A509" s="772" t="inlineStr">
        <is>
          <t>脱水機室給気ファン</t>
        </is>
      </c>
      <c r="B509" s="768" t="inlineStr">
        <is>
          <t>―</t>
        </is>
      </c>
      <c r="C509" s="825" t="inlineStr">
        <is>
          <t>異音、振動</t>
        </is>
      </c>
      <c r="D509" s="829" t="n"/>
      <c r="E509" s="868" t="n"/>
      <c r="F509" s="824" t="n"/>
      <c r="G509" s="868" t="n"/>
      <c r="H509" s="824" t="n"/>
      <c r="I509" s="823" t="n"/>
      <c r="J509" s="824" t="n"/>
      <c r="K509" s="823" t="n"/>
      <c r="L509" s="824" t="n"/>
      <c r="M509" s="823" t="n"/>
      <c r="N509" s="824" t="n"/>
    </row>
    <row r="510" ht="13.5" customHeight="1" s="614">
      <c r="A510" s="769" t="n"/>
      <c r="B510" s="769" t="n"/>
      <c r="C510" s="791" t="inlineStr">
        <is>
          <t>モード確認</t>
        </is>
      </c>
      <c r="D510" s="792" t="n"/>
      <c r="E510" s="855" t="n"/>
      <c r="F510" s="788" t="n"/>
      <c r="G510" s="855" t="n"/>
      <c r="H510" s="788" t="n"/>
      <c r="I510" s="793" t="n"/>
      <c r="J510" s="788" t="n"/>
      <c r="K510" s="793" t="n"/>
      <c r="L510" s="788" t="n"/>
      <c r="M510" s="793" t="n"/>
      <c r="N510" s="788" t="n"/>
    </row>
    <row r="511" ht="13.5" customHeight="1" s="614">
      <c r="A511" s="772" t="inlineStr">
        <is>
          <t>脱水機室排気ファン</t>
        </is>
      </c>
      <c r="B511" s="768" t="inlineStr">
        <is>
          <t>―</t>
        </is>
      </c>
      <c r="C511" s="825" t="inlineStr">
        <is>
          <t>異音、振動</t>
        </is>
      </c>
      <c r="D511" s="829" t="n"/>
      <c r="E511" s="868" t="n"/>
      <c r="F511" s="824" t="n"/>
      <c r="G511" s="868" t="n"/>
      <c r="H511" s="824" t="n"/>
      <c r="I511" s="823" t="n"/>
      <c r="J511" s="824" t="n"/>
      <c r="K511" s="823" t="n"/>
      <c r="L511" s="824" t="n"/>
      <c r="M511" s="823" t="n"/>
      <c r="N511" s="824" t="n"/>
    </row>
    <row r="512" ht="13.5" customHeight="1" s="614">
      <c r="A512" s="769" t="n"/>
      <c r="B512" s="769" t="n"/>
      <c r="C512" s="791" t="inlineStr">
        <is>
          <t>モード確認</t>
        </is>
      </c>
      <c r="D512" s="792" t="n"/>
      <c r="E512" s="855" t="n"/>
      <c r="F512" s="788" t="n"/>
      <c r="G512" s="855" t="n"/>
      <c r="H512" s="788" t="n"/>
      <c r="I512" s="793" t="n"/>
      <c r="J512" s="788" t="n"/>
      <c r="K512" s="793" t="n"/>
      <c r="L512" s="788" t="n"/>
      <c r="M512" s="793" t="n"/>
      <c r="N512" s="788" t="n"/>
    </row>
    <row r="513" ht="13.5" customHeight="1" s="614">
      <c r="A513" s="809" t="inlineStr">
        <is>
          <t xml:space="preserve">　　備　　考</t>
        </is>
      </c>
      <c r="B513" s="839" t="n"/>
      <c r="C513" s="839" t="n"/>
      <c r="D513" s="839" t="n"/>
      <c r="E513" s="839" t="n"/>
      <c r="F513" s="839" t="n"/>
      <c r="G513" s="839" t="n"/>
      <c r="H513" s="839" t="n"/>
      <c r="I513" s="839" t="n"/>
      <c r="J513" s="839" t="n"/>
      <c r="K513" s="839" t="n"/>
      <c r="L513" s="839" t="n"/>
      <c r="M513" s="839" t="n"/>
      <c r="N513" s="840" t="n"/>
    </row>
    <row r="514" ht="13.5" customHeight="1" s="614">
      <c r="A514" s="809" t="n"/>
      <c r="B514" s="839" t="n"/>
      <c r="C514" s="839" t="n"/>
      <c r="D514" s="839" t="n"/>
      <c r="E514" s="839" t="n"/>
      <c r="F514" s="839" t="n"/>
      <c r="G514" s="839" t="n"/>
      <c r="H514" s="839" t="n"/>
      <c r="I514" s="839" t="n"/>
      <c r="J514" s="839" t="n"/>
      <c r="K514" s="839" t="n"/>
      <c r="L514" s="839" t="n"/>
      <c r="M514" s="839" t="n"/>
      <c r="N514" s="840" t="n"/>
    </row>
    <row r="515" ht="13.5" customHeight="1" s="614">
      <c r="A515" s="809" t="n"/>
      <c r="B515" s="839" t="n"/>
      <c r="C515" s="839" t="n"/>
      <c r="D515" s="839" t="n"/>
      <c r="E515" s="839" t="n"/>
      <c r="F515" s="839" t="n"/>
      <c r="G515" s="839" t="n"/>
      <c r="H515" s="839" t="n"/>
      <c r="I515" s="839" t="n"/>
      <c r="J515" s="839" t="n"/>
      <c r="K515" s="839" t="n"/>
      <c r="L515" s="839" t="n"/>
      <c r="M515" s="839" t="n"/>
      <c r="N515" s="840" t="n"/>
    </row>
    <row r="516" ht="13.5" customHeight="1" s="614">
      <c r="A516" s="809" t="n"/>
      <c r="B516" s="839" t="n"/>
      <c r="C516" s="839" t="n"/>
      <c r="D516" s="839" t="n"/>
      <c r="E516" s="839" t="n"/>
      <c r="F516" s="839" t="n"/>
      <c r="G516" s="839" t="n"/>
      <c r="H516" s="839" t="n"/>
      <c r="I516" s="839" t="n"/>
      <c r="J516" s="839" t="n"/>
      <c r="K516" s="839" t="n"/>
      <c r="L516" s="839" t="n"/>
      <c r="M516" s="839" t="n"/>
      <c r="N516" s="840" t="n"/>
    </row>
    <row r="517" ht="13.5" customHeight="1" s="614">
      <c r="A517" s="809" t="n"/>
      <c r="B517" s="839" t="n"/>
      <c r="C517" s="839" t="n"/>
      <c r="D517" s="839" t="n"/>
      <c r="E517" s="839" t="n"/>
      <c r="F517" s="839" t="n"/>
      <c r="G517" s="839" t="n"/>
      <c r="H517" s="839" t="n"/>
      <c r="I517" s="839" t="n"/>
      <c r="J517" s="839" t="n"/>
      <c r="K517" s="839" t="n"/>
      <c r="L517" s="839" t="n"/>
      <c r="M517" s="839" t="n"/>
      <c r="N517" s="840" t="n"/>
    </row>
    <row r="518" ht="13.5" customHeight="1" s="614">
      <c r="A518" s="809" t="n"/>
      <c r="B518" s="839" t="n"/>
      <c r="C518" s="839" t="n"/>
      <c r="D518" s="839" t="n"/>
      <c r="E518" s="839" t="n"/>
      <c r="F518" s="839" t="n"/>
      <c r="G518" s="839" t="n"/>
      <c r="H518" s="839" t="n"/>
      <c r="I518" s="839" t="n"/>
      <c r="J518" s="839" t="n"/>
      <c r="K518" s="839" t="n"/>
      <c r="L518" s="839" t="n"/>
      <c r="M518" s="839" t="n"/>
      <c r="N518" s="840" t="n"/>
    </row>
    <row r="519" ht="13.5" customHeight="1" s="614">
      <c r="A519" s="809" t="n"/>
      <c r="B519" s="839" t="n"/>
      <c r="C519" s="839" t="n"/>
      <c r="D519" s="839" t="n"/>
      <c r="E519" s="839" t="n"/>
      <c r="F519" s="839" t="n"/>
      <c r="G519" s="839" t="n"/>
      <c r="H519" s="839" t="n"/>
      <c r="I519" s="839" t="n"/>
      <c r="J519" s="839" t="n"/>
      <c r="K519" s="839" t="n"/>
      <c r="L519" s="839" t="n"/>
      <c r="M519" s="839" t="n"/>
      <c r="N519" s="840" t="n"/>
    </row>
    <row r="520" ht="13.5" customHeight="1" s="614">
      <c r="A520" s="809" t="n"/>
      <c r="B520" s="839" t="n"/>
      <c r="C520" s="839" t="n"/>
      <c r="D520" s="839" t="n"/>
      <c r="E520" s="839" t="n"/>
      <c r="F520" s="839" t="n"/>
      <c r="G520" s="839" t="n"/>
      <c r="H520" s="839" t="n"/>
      <c r="I520" s="839" t="n"/>
      <c r="J520" s="839" t="n"/>
      <c r="K520" s="839" t="n"/>
      <c r="L520" s="839" t="n"/>
      <c r="M520" s="839" t="n"/>
      <c r="N520" s="840" t="n"/>
    </row>
    <row r="521" ht="13.5" customHeight="1" s="614">
      <c r="A521" s="809" t="n"/>
      <c r="B521" s="839" t="n"/>
      <c r="C521" s="839" t="n"/>
      <c r="D521" s="839" t="n"/>
      <c r="E521" s="839" t="n"/>
      <c r="F521" s="839" t="n"/>
      <c r="G521" s="839" t="n"/>
      <c r="H521" s="839" t="n"/>
      <c r="I521" s="839" t="n"/>
      <c r="J521" s="839" t="n"/>
      <c r="K521" s="839" t="n"/>
      <c r="L521" s="839" t="n"/>
      <c r="M521" s="839" t="n"/>
      <c r="N521" s="840" t="n"/>
    </row>
    <row r="522" ht="13.5" customHeight="1" s="614">
      <c r="A522" s="809" t="n"/>
      <c r="B522" s="839" t="n"/>
      <c r="C522" s="839" t="n"/>
      <c r="D522" s="839" t="n"/>
      <c r="E522" s="839" t="n"/>
      <c r="F522" s="839" t="n"/>
      <c r="G522" s="839" t="n"/>
      <c r="H522" s="839" t="n"/>
      <c r="I522" s="839" t="n"/>
      <c r="J522" s="839" t="n"/>
      <c r="K522" s="839" t="n"/>
      <c r="L522" s="839" t="n"/>
      <c r="M522" s="839" t="n"/>
      <c r="N522" s="840" t="n"/>
    </row>
    <row r="523" ht="13.5" customHeight="1" s="614">
      <c r="A523" s="809" t="n"/>
      <c r="B523" s="839" t="n"/>
      <c r="C523" s="839" t="n"/>
      <c r="D523" s="839" t="n"/>
      <c r="E523" s="839" t="n"/>
      <c r="F523" s="839" t="n"/>
      <c r="G523" s="839" t="n"/>
      <c r="H523" s="839" t="n"/>
      <c r="I523" s="839" t="n"/>
      <c r="J523" s="839" t="n"/>
      <c r="K523" s="839" t="n"/>
      <c r="L523" s="839" t="n"/>
      <c r="M523" s="839" t="n"/>
      <c r="N523" s="840" t="n"/>
    </row>
    <row r="524" ht="13.5" customHeight="1" s="614">
      <c r="A524" s="809" t="n"/>
      <c r="B524" s="839" t="n"/>
      <c r="C524" s="839" t="n"/>
      <c r="D524" s="839" t="n"/>
      <c r="E524" s="839" t="n"/>
      <c r="F524" s="839" t="n"/>
      <c r="G524" s="839" t="n"/>
      <c r="H524" s="839" t="n"/>
      <c r="I524" s="839" t="n"/>
      <c r="J524" s="839" t="n"/>
      <c r="K524" s="839" t="n"/>
      <c r="L524" s="839" t="n"/>
      <c r="M524" s="839" t="n"/>
      <c r="N524" s="840" t="n"/>
    </row>
    <row r="525" ht="13.5" customHeight="1" s="614">
      <c r="A525" s="809" t="n"/>
      <c r="B525" s="839" t="n"/>
      <c r="C525" s="839" t="n"/>
      <c r="D525" s="839" t="n"/>
      <c r="E525" s="839" t="n"/>
      <c r="F525" s="839" t="n"/>
      <c r="G525" s="839" t="n"/>
      <c r="H525" s="839" t="n"/>
      <c r="I525" s="839" t="n"/>
      <c r="J525" s="839" t="n"/>
      <c r="K525" s="839" t="n"/>
      <c r="L525" s="839" t="n"/>
      <c r="M525" s="839" t="n"/>
      <c r="N525" s="840" t="n"/>
    </row>
    <row r="526" ht="13.5" customHeight="1" s="614">
      <c r="A526" s="809" t="n"/>
      <c r="B526" s="839" t="n"/>
      <c r="C526" s="839" t="n"/>
      <c r="D526" s="839" t="n"/>
      <c r="E526" s="839" t="n"/>
      <c r="F526" s="839" t="n"/>
      <c r="G526" s="839" t="n"/>
      <c r="H526" s="839" t="n"/>
      <c r="I526" s="839" t="n"/>
      <c r="J526" s="839" t="n"/>
      <c r="K526" s="839" t="n"/>
      <c r="L526" s="839" t="n"/>
      <c r="M526" s="839" t="n"/>
      <c r="N526" s="840" t="n"/>
    </row>
    <row r="527" ht="13.5" customHeight="1" s="614">
      <c r="A527" s="785" t="n"/>
      <c r="B527" s="819" t="n"/>
      <c r="C527" s="819" t="n"/>
      <c r="D527" s="819" t="n"/>
      <c r="E527" s="819" t="n"/>
      <c r="F527" s="819" t="n"/>
      <c r="G527" s="819" t="n"/>
      <c r="H527" s="819" t="n"/>
      <c r="I527" s="819" t="n"/>
      <c r="J527" s="819" t="n"/>
      <c r="K527" s="819" t="n"/>
      <c r="L527" s="819" t="n"/>
      <c r="M527" s="819" t="n"/>
      <c r="N527" s="841" t="n"/>
    </row>
    <row r="528" ht="13.5" customHeight="1" s="614">
      <c r="A528" s="820" t="inlineStr">
        <is>
          <t xml:space="preserve">　○：良　　△：要注意　　×：要修理</t>
        </is>
      </c>
    </row>
    <row r="529" ht="21" customHeight="1" s="614">
      <c r="A529" s="764" t="inlineStr">
        <is>
          <t>機械設備日常点検表（１/２）</t>
        </is>
      </c>
      <c r="B529" s="674" t="n"/>
      <c r="C529" s="765" t="n"/>
      <c r="D529" s="674" t="n"/>
      <c r="E529" s="674" t="n"/>
      <c r="F529" s="674" t="n"/>
      <c r="G529" s="674" t="n"/>
      <c r="H529" s="674" t="n"/>
      <c r="I529" s="674" t="n"/>
      <c r="J529" s="674" t="n"/>
      <c r="K529" s="765">
        <f>K1</f>
        <v/>
      </c>
      <c r="L529" s="765" t="n"/>
      <c r="M529" s="765" t="n"/>
      <c r="N529" s="674" t="n"/>
    </row>
    <row r="530" ht="13.5" customHeight="1" s="614">
      <c r="A530" s="767" t="inlineStr">
        <is>
          <t>機　器　名</t>
        </is>
      </c>
      <c r="B530" s="768" t="inlineStr">
        <is>
          <t>No</t>
        </is>
      </c>
      <c r="C530" s="767" t="inlineStr">
        <is>
          <t>点 検 者</t>
        </is>
      </c>
      <c r="D530" s="627" t="n"/>
      <c r="E530" s="767" t="n"/>
      <c r="F530" s="627" t="n"/>
      <c r="G530" s="874" t="n"/>
      <c r="H530" s="627" t="n"/>
      <c r="I530" s="874" t="n"/>
      <c r="J530" s="627" t="n"/>
      <c r="K530" s="874" t="n"/>
      <c r="L530" s="627" t="n"/>
      <c r="M530" s="874" t="n"/>
      <c r="N530" s="627" t="n"/>
    </row>
    <row r="531" ht="13.5" customHeight="1" s="614">
      <c r="A531" s="769" t="n"/>
      <c r="B531" s="769" t="n"/>
      <c r="C531" s="770" t="inlineStr">
        <is>
          <t>点検内容</t>
        </is>
      </c>
      <c r="D531" s="627" t="n"/>
      <c r="E531" s="771" t="n"/>
      <c r="F531" s="627" t="n"/>
      <c r="G531" s="875" t="n"/>
      <c r="H531" s="627" t="n"/>
      <c r="I531" s="875" t="n"/>
      <c r="J531" s="627" t="n"/>
      <c r="K531" s="875" t="n"/>
      <c r="L531" s="627" t="n"/>
      <c r="M531" s="875" t="n"/>
      <c r="N531" s="627" t="n"/>
    </row>
    <row r="532" ht="13.5" customHeight="1" s="614">
      <c r="A532" s="832" t="inlineStr">
        <is>
          <t>ポンプ井</t>
        </is>
      </c>
      <c r="B532" s="768" t="inlineStr">
        <is>
          <t>―</t>
        </is>
      </c>
      <c r="C532" s="773" t="inlineStr">
        <is>
          <t>内部状況確認</t>
        </is>
      </c>
      <c r="D532" s="805" t="n"/>
      <c r="E532" s="775" t="n"/>
      <c r="F532" s="627" t="n"/>
      <c r="G532" s="850" t="n"/>
      <c r="H532" s="627" t="n"/>
      <c r="I532" s="850" t="n"/>
      <c r="J532" s="627" t="n"/>
      <c r="K532" s="850" t="n"/>
      <c r="L532" s="627" t="n"/>
      <c r="M532" s="850" t="n"/>
      <c r="N532" s="627" t="n"/>
    </row>
    <row r="533" ht="13.5" customHeight="1" s="614">
      <c r="A533" s="832" t="inlineStr">
        <is>
          <t>汚水ポンプ</t>
        </is>
      </c>
      <c r="B533" s="768" t="n">
        <v>1</v>
      </c>
      <c r="C533" s="776" t="inlineStr">
        <is>
          <t>電流値</t>
        </is>
      </c>
      <c r="D533" s="777" t="inlineStr">
        <is>
          <t>Ａ</t>
        </is>
      </c>
      <c r="E533" s="778" t="n"/>
      <c r="F533" s="779" t="n"/>
      <c r="G533" s="851" t="n"/>
      <c r="H533" s="779" t="n"/>
      <c r="I533" s="851" t="n"/>
      <c r="J533" s="779" t="n"/>
      <c r="K533" s="851" t="n"/>
      <c r="L533" s="779" t="n"/>
      <c r="M533" s="851" t="n"/>
      <c r="N533" s="779" t="n"/>
    </row>
    <row r="534" ht="13.5" customHeight="1" s="614">
      <c r="A534" s="780" t="n"/>
      <c r="B534" s="780" t="n"/>
      <c r="C534" s="781" t="inlineStr">
        <is>
          <t>吐出圧力</t>
        </is>
      </c>
      <c r="D534" s="782" t="inlineStr">
        <is>
          <t>Mpa</t>
        </is>
      </c>
      <c r="E534" s="783" t="n"/>
      <c r="F534" s="784" t="n"/>
      <c r="G534" s="852" t="n"/>
      <c r="H534" s="784" t="n"/>
      <c r="I534" s="852" t="n"/>
      <c r="J534" s="784" t="n"/>
      <c r="K534" s="852" t="n"/>
      <c r="L534" s="784" t="n"/>
      <c r="M534" s="852" t="n"/>
      <c r="N534" s="784" t="n"/>
    </row>
    <row r="535" ht="13.5" customHeight="1" s="614">
      <c r="A535" s="780" t="n"/>
      <c r="B535" s="769" t="n"/>
      <c r="C535" s="785" t="inlineStr">
        <is>
          <t>異音、振動</t>
        </is>
      </c>
      <c r="D535" s="786" t="n"/>
      <c r="E535" s="787" t="n"/>
      <c r="F535" s="788" t="n"/>
      <c r="G535" s="853" t="n"/>
      <c r="H535" s="788" t="n"/>
      <c r="I535" s="853" t="n"/>
      <c r="J535" s="788" t="n"/>
      <c r="K535" s="853" t="n"/>
      <c r="L535" s="788" t="n"/>
      <c r="M535" s="853" t="n"/>
      <c r="N535" s="788" t="n"/>
    </row>
    <row r="536" ht="13.5" customHeight="1" s="614">
      <c r="A536" s="780" t="n"/>
      <c r="B536" s="768" t="n">
        <v>2</v>
      </c>
      <c r="C536" s="776" t="inlineStr">
        <is>
          <t>電流値</t>
        </is>
      </c>
      <c r="D536" s="777" t="inlineStr">
        <is>
          <t>Ａ</t>
        </is>
      </c>
      <c r="E536" s="778" t="n"/>
      <c r="F536" s="779" t="n"/>
      <c r="G536" s="851" t="n"/>
      <c r="H536" s="779" t="n"/>
      <c r="I536" s="851" t="n"/>
      <c r="J536" s="779" t="n"/>
      <c r="K536" s="851" t="n"/>
      <c r="L536" s="779" t="n"/>
      <c r="M536" s="851" t="n"/>
      <c r="N536" s="779" t="n"/>
    </row>
    <row r="537" ht="13.5" customHeight="1" s="614">
      <c r="A537" s="780" t="n"/>
      <c r="B537" s="780" t="n"/>
      <c r="C537" s="781" t="inlineStr">
        <is>
          <t>吐出圧力</t>
        </is>
      </c>
      <c r="D537" s="782" t="inlineStr">
        <is>
          <t>Mpa</t>
        </is>
      </c>
      <c r="E537" s="783" t="n"/>
      <c r="F537" s="784" t="n"/>
      <c r="G537" s="852" t="n"/>
      <c r="H537" s="784" t="n"/>
      <c r="I537" s="852" t="n"/>
      <c r="J537" s="784" t="n"/>
      <c r="K537" s="852" t="n"/>
      <c r="L537" s="784" t="n"/>
      <c r="M537" s="852" t="n"/>
      <c r="N537" s="784" t="n"/>
      <c r="P537" s="675" t="n"/>
    </row>
    <row r="538" ht="13.5" customHeight="1" s="614">
      <c r="A538" s="780" t="n"/>
      <c r="B538" s="769" t="n"/>
      <c r="C538" s="785">
        <f>C535</f>
        <v/>
      </c>
      <c r="D538" s="786" t="n"/>
      <c r="E538" s="787" t="n"/>
      <c r="F538" s="788" t="n"/>
      <c r="G538" s="853" t="n"/>
      <c r="H538" s="788" t="n"/>
      <c r="I538" s="853" t="n"/>
      <c r="J538" s="788" t="n"/>
      <c r="K538" s="853" t="n"/>
      <c r="L538" s="788" t="n"/>
      <c r="M538" s="853" t="n"/>
      <c r="N538" s="788" t="n"/>
    </row>
    <row r="539" ht="13.5" customHeight="1" s="614">
      <c r="A539" s="780" t="n"/>
      <c r="B539" s="768" t="inlineStr">
        <is>
          <t>―</t>
        </is>
      </c>
      <c r="C539" s="776" t="inlineStr">
        <is>
          <t>モード確認</t>
        </is>
      </c>
      <c r="D539" s="777" t="n"/>
      <c r="E539" s="789" t="n"/>
      <c r="F539" s="779" t="n"/>
      <c r="G539" s="854" t="n"/>
      <c r="H539" s="779" t="n"/>
      <c r="I539" s="854" t="n"/>
      <c r="J539" s="779" t="n"/>
      <c r="K539" s="854" t="n"/>
      <c r="L539" s="779" t="n"/>
      <c r="M539" s="854" t="n"/>
      <c r="N539" s="779" t="n"/>
      <c r="P539" s="790" t="n"/>
      <c r="Q539" s="790" t="n"/>
      <c r="R539" s="790" t="n"/>
    </row>
    <row r="540" ht="13.5" customHeight="1" s="614">
      <c r="A540" s="769" t="n"/>
      <c r="B540" s="769" t="n"/>
      <c r="C540" s="791" t="inlineStr">
        <is>
          <t>常用機選択</t>
        </is>
      </c>
      <c r="D540" s="792" t="n"/>
      <c r="E540" s="793" t="n"/>
      <c r="F540" s="788" t="n"/>
      <c r="G540" s="855" t="n"/>
      <c r="H540" s="788" t="n"/>
      <c r="I540" s="855" t="n"/>
      <c r="J540" s="788" t="n"/>
      <c r="K540" s="855" t="n"/>
      <c r="L540" s="788" t="n"/>
      <c r="M540" s="855" t="n"/>
      <c r="N540" s="788" t="n"/>
      <c r="P540" s="794" t="n"/>
      <c r="Q540" s="794" t="n"/>
      <c r="R540" s="790" t="n"/>
    </row>
    <row r="541" ht="13.5" customHeight="1" s="614">
      <c r="A541" s="795" t="inlineStr">
        <is>
          <t>スクリーンユニット</t>
        </is>
      </c>
      <c r="B541" s="796" t="n"/>
      <c r="C541" s="781" t="inlineStr">
        <is>
          <t>異音、振動</t>
        </is>
      </c>
      <c r="D541" s="782" t="n"/>
      <c r="E541" s="797" t="n"/>
      <c r="F541" s="779" t="n"/>
      <c r="G541" s="856" t="n"/>
      <c r="H541" s="779" t="n"/>
      <c r="I541" s="856" t="n"/>
      <c r="J541" s="779" t="n"/>
      <c r="K541" s="856" t="n"/>
      <c r="L541" s="779" t="n"/>
      <c r="M541" s="856" t="n"/>
      <c r="N541" s="779" t="n"/>
      <c r="S541" s="790" t="n"/>
    </row>
    <row r="542" ht="13.5" customHeight="1" s="614">
      <c r="A542" s="780" t="n"/>
      <c r="B542" s="780" t="n"/>
      <c r="C542" s="781" t="inlineStr">
        <is>
          <t>し渣量の確認</t>
        </is>
      </c>
      <c r="D542" s="782" t="n"/>
      <c r="E542" s="798" t="n"/>
      <c r="F542" s="784" t="n"/>
      <c r="G542" s="857" t="n"/>
      <c r="H542" s="784" t="n"/>
      <c r="I542" s="857" t="n"/>
      <c r="J542" s="784" t="n"/>
      <c r="K542" s="857" t="n"/>
      <c r="L542" s="784" t="n"/>
      <c r="M542" s="857" t="n"/>
      <c r="N542" s="784" t="n"/>
      <c r="P542" s="712" t="n"/>
      <c r="Q542" s="712" t="n"/>
      <c r="R542" s="790" t="n"/>
    </row>
    <row r="543" ht="13.5" customHeight="1" s="614">
      <c r="A543" s="769" t="n"/>
      <c r="B543" s="769" t="n"/>
      <c r="C543" s="785" t="inlineStr">
        <is>
          <t>運転動作</t>
        </is>
      </c>
      <c r="D543" s="786" t="n"/>
      <c r="E543" s="787" t="n"/>
      <c r="F543" s="788" t="n"/>
      <c r="G543" s="853" t="n"/>
      <c r="H543" s="788" t="n"/>
      <c r="I543" s="853" t="n"/>
      <c r="J543" s="788" t="n"/>
      <c r="K543" s="853" t="n"/>
      <c r="L543" s="788" t="n"/>
      <c r="M543" s="853" t="n"/>
      <c r="N543" s="788" t="n"/>
      <c r="P543" s="790" t="n"/>
      <c r="Q543" s="790" t="n"/>
    </row>
    <row r="544" ht="13.5" customHeight="1" s="614">
      <c r="A544" s="799" t="inlineStr">
        <is>
          <t>エアレーション装置</t>
        </is>
      </c>
      <c r="B544" s="800" t="inlineStr">
        <is>
          <t>1-1</t>
        </is>
      </c>
      <c r="C544" s="776" t="inlineStr">
        <is>
          <t>電流値</t>
        </is>
      </c>
      <c r="D544" s="777" t="inlineStr">
        <is>
          <t>Ａ</t>
        </is>
      </c>
      <c r="E544" s="778" t="n"/>
      <c r="F544" s="779" t="n"/>
      <c r="G544" s="851" t="n"/>
      <c r="H544" s="779" t="n"/>
      <c r="I544" s="851" t="n"/>
      <c r="J544" s="779" t="n"/>
      <c r="K544" s="851" t="n"/>
      <c r="L544" s="779" t="n"/>
      <c r="M544" s="851" t="n"/>
      <c r="N544" s="779" t="n"/>
    </row>
    <row r="545" ht="13.5" customHeight="1" s="614">
      <c r="A545" s="780" t="n"/>
      <c r="B545" s="780" t="n"/>
      <c r="C545" s="781">
        <f>C541</f>
        <v/>
      </c>
      <c r="D545" s="782" t="n"/>
      <c r="E545" s="783" t="n"/>
      <c r="F545" s="784" t="n"/>
      <c r="G545" s="852" t="n"/>
      <c r="H545" s="784" t="n"/>
      <c r="I545" s="852" t="n"/>
      <c r="J545" s="784" t="n"/>
      <c r="K545" s="852" t="n"/>
      <c r="L545" s="784" t="n"/>
      <c r="M545" s="852" t="n"/>
      <c r="N545" s="784" t="n"/>
    </row>
    <row r="546" ht="13.5" customHeight="1" s="614">
      <c r="A546" s="780" t="n"/>
      <c r="B546" s="769" t="n"/>
      <c r="C546" s="785">
        <f>C539</f>
        <v/>
      </c>
      <c r="D546" s="786" t="n"/>
      <c r="E546" s="793" t="n"/>
      <c r="F546" s="788" t="n"/>
      <c r="G546" s="855" t="n"/>
      <c r="H546" s="788" t="n"/>
      <c r="I546" s="855" t="n"/>
      <c r="J546" s="788" t="n"/>
      <c r="K546" s="855" t="n"/>
      <c r="L546" s="788" t="n"/>
      <c r="M546" s="855" t="n"/>
      <c r="N546" s="788" t="n"/>
    </row>
    <row r="547" ht="13.5" customHeight="1" s="614">
      <c r="A547" s="780" t="n"/>
      <c r="B547" s="800" t="inlineStr">
        <is>
          <t>1-2</t>
        </is>
      </c>
      <c r="C547" s="776" t="inlineStr">
        <is>
          <t>電流値</t>
        </is>
      </c>
      <c r="D547" s="777" t="inlineStr">
        <is>
          <t>Ａ</t>
        </is>
      </c>
      <c r="E547" s="778" t="n"/>
      <c r="F547" s="779" t="n"/>
      <c r="G547" s="851" t="n"/>
      <c r="H547" s="779" t="n"/>
      <c r="I547" s="851" t="n"/>
      <c r="J547" s="779" t="n"/>
      <c r="K547" s="851" t="n"/>
      <c r="L547" s="779" t="n"/>
      <c r="M547" s="851" t="n"/>
      <c r="N547" s="779" t="n"/>
    </row>
    <row r="548" ht="13.5" customHeight="1" s="614">
      <c r="A548" s="780" t="n"/>
      <c r="B548" s="780" t="n"/>
      <c r="C548" s="781">
        <f>C545</f>
        <v/>
      </c>
      <c r="D548" s="782" t="n"/>
      <c r="E548" s="783" t="n"/>
      <c r="F548" s="784" t="n"/>
      <c r="G548" s="852" t="n"/>
      <c r="H548" s="784" t="n"/>
      <c r="I548" s="852" t="n"/>
      <c r="J548" s="784" t="n"/>
      <c r="K548" s="852" t="n"/>
      <c r="L548" s="784" t="n"/>
      <c r="M548" s="852" t="n"/>
      <c r="N548" s="784" t="n"/>
    </row>
    <row r="549" ht="13.5" customHeight="1" s="614">
      <c r="A549" s="780" t="n"/>
      <c r="B549" s="769" t="n"/>
      <c r="C549" s="785">
        <f>C546</f>
        <v/>
      </c>
      <c r="D549" s="786" t="n"/>
      <c r="E549" s="793" t="n"/>
      <c r="F549" s="788" t="n"/>
      <c r="G549" s="855" t="n"/>
      <c r="H549" s="788" t="n"/>
      <c r="I549" s="855" t="n"/>
      <c r="J549" s="788" t="n"/>
      <c r="K549" s="855" t="n"/>
      <c r="L549" s="788" t="n"/>
      <c r="M549" s="855" t="n"/>
      <c r="N549" s="788" t="n"/>
    </row>
    <row r="550" ht="13.5" customHeight="1" s="614">
      <c r="A550" s="876" t="inlineStr">
        <is>
          <t>曝気ブロワー</t>
        </is>
      </c>
      <c r="B550" s="801" t="inlineStr">
        <is>
          <t>№１</t>
        </is>
      </c>
      <c r="C550" s="776" t="inlineStr">
        <is>
          <t>電流値</t>
        </is>
      </c>
      <c r="D550" s="777" t="inlineStr">
        <is>
          <t>Ａ</t>
        </is>
      </c>
      <c r="E550" s="778" t="n"/>
      <c r="F550" s="779" t="n"/>
      <c r="G550" s="851" t="n"/>
      <c r="H550" s="779" t="n"/>
      <c r="I550" s="851" t="n"/>
      <c r="J550" s="779" t="n"/>
      <c r="K550" s="851" t="n"/>
      <c r="L550" s="779" t="n"/>
      <c r="M550" s="851" t="n"/>
      <c r="N550" s="779" t="n"/>
    </row>
    <row r="551" ht="13.5" customHeight="1" s="614">
      <c r="A551" s="780" t="n"/>
      <c r="B551" s="780" t="n"/>
      <c r="C551" s="781">
        <f>C548</f>
        <v/>
      </c>
      <c r="D551" s="782" t="n"/>
      <c r="E551" s="798" t="n"/>
      <c r="F551" s="784" t="n"/>
      <c r="G551" s="857" t="n"/>
      <c r="H551" s="784" t="n"/>
      <c r="I551" s="852" t="n"/>
      <c r="J551" s="784" t="n"/>
      <c r="K551" s="852" t="n"/>
      <c r="L551" s="784" t="n"/>
      <c r="M551" s="852" t="n"/>
      <c r="N551" s="784" t="n"/>
    </row>
    <row r="552" ht="13.5" customHeight="1" s="614">
      <c r="A552" s="780" t="n"/>
      <c r="B552" s="769" t="n"/>
      <c r="C552" s="785">
        <f>C549</f>
        <v/>
      </c>
      <c r="D552" s="786" t="n"/>
      <c r="E552" s="844" t="n"/>
      <c r="F552" s="788" t="n"/>
      <c r="G552" s="877" t="n"/>
      <c r="H552" s="788" t="n"/>
      <c r="I552" s="877" t="n"/>
      <c r="J552" s="788" t="n"/>
      <c r="K552" s="877" t="n"/>
      <c r="L552" s="788" t="n"/>
      <c r="M552" s="877" t="n"/>
      <c r="N552" s="788" t="n"/>
    </row>
    <row r="553" ht="13.5" customHeight="1" s="614">
      <c r="A553" s="780" t="n"/>
      <c r="B553" s="801" t="inlineStr">
        <is>
          <t>№２</t>
        </is>
      </c>
      <c r="C553" s="776" t="inlineStr">
        <is>
          <t>電流値</t>
        </is>
      </c>
      <c r="D553" s="777" t="inlineStr">
        <is>
          <t>Ａ</t>
        </is>
      </c>
      <c r="E553" s="778" t="n"/>
      <c r="F553" s="779" t="n"/>
      <c r="G553" s="851" t="n"/>
      <c r="H553" s="779" t="n"/>
      <c r="I553" s="851" t="n"/>
      <c r="J553" s="779" t="n"/>
      <c r="K553" s="851" t="n"/>
      <c r="L553" s="779" t="n"/>
      <c r="M553" s="851" t="n"/>
      <c r="N553" s="779" t="n"/>
    </row>
    <row r="554" ht="13.5" customHeight="1" s="614">
      <c r="A554" s="780" t="n"/>
      <c r="B554" s="780" t="n"/>
      <c r="C554" s="781">
        <f>C551</f>
        <v/>
      </c>
      <c r="D554" s="782" t="n"/>
      <c r="E554" s="783" t="n"/>
      <c r="F554" s="784" t="n"/>
      <c r="G554" s="852" t="n"/>
      <c r="H554" s="784" t="n"/>
      <c r="I554" s="852" t="n"/>
      <c r="J554" s="784" t="n"/>
      <c r="K554" s="852" t="n"/>
      <c r="L554" s="784" t="n"/>
      <c r="M554" s="852" t="n"/>
      <c r="N554" s="784" t="n"/>
    </row>
    <row r="555" ht="13.5" customHeight="1" s="614">
      <c r="A555" s="780" t="n"/>
      <c r="B555" s="769" t="n"/>
      <c r="C555" s="785">
        <f>C552</f>
        <v/>
      </c>
      <c r="D555" s="786" t="n"/>
      <c r="E555" s="803" t="n"/>
      <c r="F555" s="788" t="n"/>
      <c r="G555" s="859" t="n"/>
      <c r="H555" s="788" t="n"/>
      <c r="I555" s="877" t="n"/>
      <c r="J555" s="788" t="n"/>
      <c r="K555" s="877" t="n"/>
      <c r="L555" s="788" t="n"/>
      <c r="M555" s="877" t="n"/>
      <c r="N555" s="788" t="n"/>
    </row>
    <row r="556" ht="13.5" customHeight="1" s="614">
      <c r="A556" s="832" t="inlineStr">
        <is>
          <t>消泡装置</t>
        </is>
      </c>
      <c r="B556" s="768" t="inlineStr">
        <is>
          <t>―</t>
        </is>
      </c>
      <c r="C556" s="776" t="inlineStr">
        <is>
          <t>消泡ノズル</t>
        </is>
      </c>
      <c r="D556" s="777" t="n"/>
      <c r="E556" s="797" t="n"/>
      <c r="F556" s="779" t="n"/>
      <c r="G556" s="856" t="n"/>
      <c r="H556" s="779" t="n"/>
      <c r="I556" s="856" t="n"/>
      <c r="J556" s="779" t="n"/>
      <c r="K556" s="856" t="n"/>
      <c r="L556" s="779" t="n"/>
      <c r="M556" s="856" t="n"/>
      <c r="N556" s="779" t="n"/>
    </row>
    <row r="557" ht="13.5" customHeight="1" s="614">
      <c r="A557" s="769" t="n"/>
      <c r="B557" s="769" t="n"/>
      <c r="C557" s="791" t="inlineStr">
        <is>
          <t>消泡状態</t>
        </is>
      </c>
      <c r="D557" s="792" t="n"/>
      <c r="E557" s="787" t="n"/>
      <c r="F557" s="788" t="n"/>
      <c r="G557" s="853" t="n"/>
      <c r="H557" s="788" t="n"/>
      <c r="I557" s="853" t="n"/>
      <c r="J557" s="788" t="n"/>
      <c r="K557" s="853" t="n"/>
      <c r="L557" s="788" t="n"/>
      <c r="M557" s="853" t="n"/>
      <c r="N557" s="788" t="n"/>
    </row>
    <row r="558" ht="13.5" customHeight="1" s="614">
      <c r="A558" s="799" t="inlineStr">
        <is>
          <t>ディッチ流出可動堰</t>
        </is>
      </c>
      <c r="B558" s="804" t="n">
        <v>1</v>
      </c>
      <c r="C558" s="776" t="inlineStr">
        <is>
          <t>開度</t>
        </is>
      </c>
      <c r="D558" s="777" t="inlineStr">
        <is>
          <t>㎜</t>
        </is>
      </c>
      <c r="E558" s="775" t="n"/>
      <c r="F558" s="627" t="n"/>
      <c r="G558" s="850" t="n"/>
      <c r="H558" s="627" t="n"/>
      <c r="I558" s="850" t="n"/>
      <c r="J558" s="627" t="n"/>
      <c r="K558" s="850" t="n"/>
      <c r="L558" s="627" t="n"/>
      <c r="M558" s="850" t="n"/>
      <c r="N558" s="627" t="n"/>
    </row>
    <row r="559" ht="13.5" customHeight="1" s="614">
      <c r="A559" s="799" t="inlineStr">
        <is>
          <t>ディッチ流出ゲート</t>
        </is>
      </c>
      <c r="B559" s="804" t="n">
        <v>1</v>
      </c>
      <c r="C559" s="776" t="inlineStr">
        <is>
          <t>開度</t>
        </is>
      </c>
      <c r="D559" s="777" t="inlineStr">
        <is>
          <t>㎜</t>
        </is>
      </c>
      <c r="E559" s="775" t="n"/>
      <c r="F559" s="627" t="n"/>
      <c r="G559" s="850" t="n"/>
      <c r="H559" s="627" t="n"/>
      <c r="I559" s="850" t="n"/>
      <c r="J559" s="627" t="n"/>
      <c r="K559" s="850" t="n"/>
      <c r="L559" s="627" t="n"/>
      <c r="M559" s="850" t="n"/>
      <c r="N559" s="627" t="n"/>
    </row>
    <row r="560" ht="13.5" customHeight="1" s="614">
      <c r="A560" s="772" t="inlineStr">
        <is>
          <t>ディッチ連絡ゲート</t>
        </is>
      </c>
      <c r="B560" s="767" t="inlineStr">
        <is>
          <t>－</t>
        </is>
      </c>
      <c r="C560" s="773" t="inlineStr">
        <is>
          <t>開度</t>
        </is>
      </c>
      <c r="D560" s="805" t="inlineStr">
        <is>
          <t>㎜</t>
        </is>
      </c>
      <c r="E560" s="775" t="n"/>
      <c r="F560" s="627" t="n"/>
      <c r="G560" s="850" t="n"/>
      <c r="H560" s="627" t="n"/>
      <c r="I560" s="850" t="n"/>
      <c r="J560" s="627" t="n"/>
      <c r="K560" s="850" t="n"/>
      <c r="L560" s="627" t="n"/>
      <c r="M560" s="850" t="n"/>
      <c r="N560" s="627" t="n"/>
    </row>
    <row r="561" ht="13.5" customHeight="1" s="614">
      <c r="A561" s="876" t="inlineStr">
        <is>
          <t>終沈汚泥掻寄機</t>
        </is>
      </c>
      <c r="B561" s="767" t="n">
        <v>1</v>
      </c>
      <c r="C561" s="776" t="inlineStr">
        <is>
          <t>電流値</t>
        </is>
      </c>
      <c r="D561" s="777" t="inlineStr">
        <is>
          <t>Ａ</t>
        </is>
      </c>
      <c r="E561" s="806" t="n"/>
      <c r="F561" s="779" t="n"/>
      <c r="G561" s="860" t="n"/>
      <c r="H561" s="779" t="n"/>
      <c r="I561" s="860" t="n"/>
      <c r="J561" s="779" t="n"/>
      <c r="K561" s="860" t="n"/>
      <c r="L561" s="779" t="n"/>
      <c r="M561" s="860" t="n"/>
      <c r="N561" s="779" t="n"/>
    </row>
    <row r="562" ht="13.5" customHeight="1" s="614">
      <c r="A562" s="780" t="n"/>
      <c r="B562" s="769" t="n"/>
      <c r="C562" s="791" t="inlineStr">
        <is>
          <t>異音、振動等</t>
        </is>
      </c>
      <c r="D562" s="792" t="n"/>
      <c r="E562" s="787" t="n"/>
      <c r="F562" s="788" t="n"/>
      <c r="G562" s="853" t="n"/>
      <c r="H562" s="788" t="n"/>
      <c r="I562" s="853" t="n"/>
      <c r="J562" s="788" t="n"/>
      <c r="K562" s="853" t="n"/>
      <c r="L562" s="788" t="n"/>
      <c r="M562" s="853" t="n"/>
      <c r="N562" s="788" t="n"/>
    </row>
    <row r="563" ht="13.5" customHeight="1" s="614">
      <c r="A563" s="878" t="inlineStr">
        <is>
          <t>スカムスキマー</t>
        </is>
      </c>
      <c r="B563" s="767" t="n">
        <v>1</v>
      </c>
      <c r="C563" s="776" t="inlineStr">
        <is>
          <t>動作状況</t>
        </is>
      </c>
      <c r="D563" s="777" t="n"/>
      <c r="E563" s="797" t="n"/>
      <c r="F563" s="779" t="n"/>
      <c r="G563" s="856" t="n"/>
      <c r="H563" s="779" t="n"/>
      <c r="I563" s="856" t="n"/>
      <c r="J563" s="779" t="n"/>
      <c r="K563" s="856" t="n"/>
      <c r="L563" s="779" t="n"/>
      <c r="M563" s="856" t="n"/>
      <c r="N563" s="779" t="n"/>
    </row>
    <row r="564" ht="13.5" customHeight="1" s="614">
      <c r="A564" s="769" t="n"/>
      <c r="B564" s="769" t="n"/>
      <c r="C564" s="791" t="inlineStr">
        <is>
          <t>スカムの状況</t>
        </is>
      </c>
      <c r="D564" s="792" t="n"/>
      <c r="E564" s="793" t="n"/>
      <c r="F564" s="788" t="n"/>
      <c r="G564" s="855" t="n"/>
      <c r="H564" s="788" t="n"/>
      <c r="I564" s="855" t="n"/>
      <c r="J564" s="788" t="n"/>
      <c r="K564" s="855" t="n"/>
      <c r="L564" s="788" t="n"/>
      <c r="M564" s="855" t="n"/>
      <c r="N564" s="788" t="n"/>
    </row>
    <row r="565" ht="13.5" customHeight="1" s="614">
      <c r="A565" s="879" t="inlineStr">
        <is>
          <t>返送汚泥ポンプ</t>
        </is>
      </c>
      <c r="B565" s="808" t="inlineStr">
        <is>
          <t>1-1</t>
        </is>
      </c>
      <c r="C565" s="809" t="inlineStr">
        <is>
          <t>電流値</t>
        </is>
      </c>
      <c r="D565" s="810" t="inlineStr">
        <is>
          <t>Ａ</t>
        </is>
      </c>
      <c r="E565" s="797" t="n"/>
      <c r="F565" s="779" t="n"/>
      <c r="G565" s="856" t="n"/>
      <c r="H565" s="779" t="n"/>
      <c r="I565" s="856" t="n"/>
      <c r="J565" s="779" t="n"/>
      <c r="K565" s="856" t="n"/>
      <c r="L565" s="779" t="n"/>
      <c r="M565" s="856" t="n"/>
      <c r="N565" s="779" t="n"/>
    </row>
    <row r="566" ht="13.5" customHeight="1" s="614">
      <c r="A566" s="780" t="n"/>
      <c r="B566" s="780" t="n"/>
      <c r="C566" s="781" t="inlineStr">
        <is>
          <t>吐出圧力</t>
        </is>
      </c>
      <c r="D566" s="782" t="inlineStr">
        <is>
          <t>Mpa</t>
        </is>
      </c>
      <c r="E566" s="783" t="n"/>
      <c r="F566" s="784" t="n"/>
      <c r="G566" s="852" t="n"/>
      <c r="H566" s="784" t="n"/>
      <c r="I566" s="852" t="n"/>
      <c r="J566" s="784" t="n"/>
      <c r="K566" s="852" t="n"/>
      <c r="L566" s="784" t="n"/>
      <c r="M566" s="852" t="n"/>
      <c r="N566" s="784" t="n"/>
    </row>
    <row r="567" ht="13.5" customHeight="1" s="614">
      <c r="A567" s="780" t="n"/>
      <c r="B567" s="769" t="n"/>
      <c r="C567" s="785" t="inlineStr">
        <is>
          <t>異音、振動</t>
        </is>
      </c>
      <c r="D567" s="786" t="n"/>
      <c r="E567" s="793" t="n"/>
      <c r="F567" s="788" t="n"/>
      <c r="G567" s="855" t="n"/>
      <c r="H567" s="788" t="n"/>
      <c r="I567" s="853" t="n"/>
      <c r="J567" s="788" t="n"/>
      <c r="K567" s="853" t="n"/>
      <c r="L567" s="788" t="n"/>
      <c r="M567" s="853" t="n"/>
      <c r="N567" s="788" t="n"/>
    </row>
    <row r="568" ht="13.5" customHeight="1" s="614">
      <c r="A568" s="780" t="n"/>
      <c r="B568" s="800" t="inlineStr">
        <is>
          <t>1-2</t>
        </is>
      </c>
      <c r="C568" s="776" t="inlineStr">
        <is>
          <t>電流値</t>
        </is>
      </c>
      <c r="D568" s="777" t="inlineStr">
        <is>
          <t>Ａ</t>
        </is>
      </c>
      <c r="E568" s="778" t="n"/>
      <c r="F568" s="779" t="n"/>
      <c r="G568" s="851" t="n"/>
      <c r="H568" s="779" t="n"/>
      <c r="I568" s="851" t="n"/>
      <c r="J568" s="779" t="n"/>
      <c r="K568" s="851" t="n"/>
      <c r="L568" s="779" t="n"/>
      <c r="M568" s="851" t="n"/>
      <c r="N568" s="779" t="n"/>
    </row>
    <row r="569" ht="13.5" customHeight="1" s="614">
      <c r="A569" s="780" t="n"/>
      <c r="B569" s="780" t="n"/>
      <c r="C569" s="781">
        <f>C566</f>
        <v/>
      </c>
      <c r="D569" s="782" t="inlineStr">
        <is>
          <t>Mpa</t>
        </is>
      </c>
      <c r="E569" s="783" t="n"/>
      <c r="F569" s="784" t="n"/>
      <c r="G569" s="852" t="n"/>
      <c r="H569" s="784" t="n"/>
      <c r="I569" s="852" t="n"/>
      <c r="J569" s="784" t="n"/>
      <c r="K569" s="852" t="n"/>
      <c r="L569" s="784" t="n"/>
      <c r="M569" s="852" t="n"/>
      <c r="N569" s="784" t="n"/>
    </row>
    <row r="570" ht="13.5" customHeight="1" s="614">
      <c r="A570" s="780" t="n"/>
      <c r="B570" s="769" t="n"/>
      <c r="C570" s="785" t="inlineStr">
        <is>
          <t>異音、振動</t>
        </is>
      </c>
      <c r="D570" s="786" t="n"/>
      <c r="E570" s="787" t="n"/>
      <c r="F570" s="788" t="n"/>
      <c r="G570" s="853" t="n"/>
      <c r="H570" s="788" t="n"/>
      <c r="I570" s="853" t="n"/>
      <c r="J570" s="788" t="n"/>
      <c r="K570" s="853" t="n"/>
      <c r="L570" s="788" t="n"/>
      <c r="M570" s="853" t="n"/>
      <c r="N570" s="788" t="n"/>
    </row>
    <row r="571" ht="13.5" customHeight="1" s="614">
      <c r="A571" s="780" t="n"/>
      <c r="B571" s="800" t="inlineStr">
        <is>
          <t>―</t>
        </is>
      </c>
      <c r="C571" s="776" t="inlineStr">
        <is>
          <t>モード確認</t>
        </is>
      </c>
      <c r="D571" s="777" t="n"/>
      <c r="E571" s="789" t="n"/>
      <c r="F571" s="779" t="n"/>
      <c r="G571" s="854" t="n"/>
      <c r="H571" s="779" t="n"/>
      <c r="I571" s="854" t="n"/>
      <c r="J571" s="779" t="n"/>
      <c r="K571" s="854" t="n"/>
      <c r="L571" s="779" t="n"/>
      <c r="M571" s="854" t="n"/>
      <c r="N571" s="779" t="n"/>
    </row>
    <row r="572" ht="13.5" customHeight="1" s="614">
      <c r="A572" s="780" t="n"/>
      <c r="B572" s="769" t="n"/>
      <c r="C572" s="791" t="inlineStr">
        <is>
          <t>常用機選択</t>
        </is>
      </c>
      <c r="D572" s="792" t="n"/>
      <c r="E572" s="793" t="n"/>
      <c r="F572" s="788" t="n"/>
      <c r="G572" s="855" t="n"/>
      <c r="H572" s="788" t="n"/>
      <c r="I572" s="855" t="n"/>
      <c r="J572" s="788" t="n"/>
      <c r="K572" s="855" t="n"/>
      <c r="L572" s="788" t="n"/>
      <c r="M572" s="855" t="n"/>
      <c r="N572" s="788" t="n"/>
      <c r="P572" s="814" t="n"/>
      <c r="Q572" s="814" t="n"/>
      <c r="R572" s="712" t="n"/>
      <c r="S572" s="712" t="n"/>
    </row>
    <row r="573" ht="13.5" customHeight="1" s="614">
      <c r="A573" s="876" t="inlineStr">
        <is>
          <t>余剰汚泥ポンプ</t>
        </is>
      </c>
      <c r="B573" s="768" t="n">
        <v>1</v>
      </c>
      <c r="C573" s="776" t="inlineStr">
        <is>
          <t>電流値</t>
        </is>
      </c>
      <c r="D573" s="777" t="inlineStr">
        <is>
          <t>Ａ</t>
        </is>
      </c>
      <c r="E573" s="862" t="n"/>
      <c r="F573" s="779" t="n"/>
      <c r="G573" s="862" t="n"/>
      <c r="H573" s="779" t="n"/>
      <c r="I573" s="862" t="n"/>
      <c r="J573" s="779" t="n"/>
      <c r="K573" s="862" t="n"/>
      <c r="L573" s="779" t="n"/>
      <c r="M573" s="862" t="n"/>
      <c r="N573" s="779" t="n"/>
    </row>
    <row r="574" ht="13.5" customHeight="1" s="614">
      <c r="A574" s="780" t="n"/>
      <c r="B574" s="780" t="n"/>
      <c r="C574" s="781">
        <f>C569</f>
        <v/>
      </c>
      <c r="D574" s="782" t="inlineStr">
        <is>
          <t>Mpa</t>
        </is>
      </c>
      <c r="E574" s="864" t="n"/>
      <c r="F574" s="784" t="n"/>
      <c r="G574" s="864" t="n"/>
      <c r="H574" s="784" t="n"/>
      <c r="I574" s="864" t="n"/>
      <c r="J574" s="784" t="n"/>
      <c r="K574" s="864" t="n"/>
      <c r="L574" s="784" t="n"/>
      <c r="M574" s="864" t="n"/>
      <c r="N574" s="784" t="n"/>
    </row>
    <row r="575" ht="13.5" customHeight="1" s="614">
      <c r="A575" s="780" t="n"/>
      <c r="B575" s="780" t="n"/>
      <c r="C575" s="809" t="inlineStr">
        <is>
          <t>異音、振動</t>
        </is>
      </c>
      <c r="D575" s="810" t="n"/>
      <c r="E575" s="864" t="n"/>
      <c r="F575" s="784" t="n"/>
      <c r="G575" s="864" t="n"/>
      <c r="H575" s="784" t="n"/>
      <c r="I575" s="864" t="n"/>
      <c r="J575" s="784" t="n"/>
      <c r="K575" s="864" t="n"/>
      <c r="L575" s="784" t="n"/>
      <c r="M575" s="864" t="n"/>
      <c r="N575" s="784" t="n"/>
    </row>
    <row r="576" ht="13.5" customHeight="1" s="614">
      <c r="A576" s="780" t="n"/>
      <c r="B576" s="780" t="n"/>
      <c r="C576" s="781" t="inlineStr">
        <is>
          <t>液漏れ</t>
        </is>
      </c>
      <c r="D576" s="782" t="n"/>
      <c r="E576" s="866" t="n"/>
      <c r="F576" s="784" t="n"/>
      <c r="G576" s="866" t="n"/>
      <c r="H576" s="784" t="n"/>
      <c r="I576" s="866" t="n"/>
      <c r="J576" s="784" t="n"/>
      <c r="K576" s="866" t="n"/>
      <c r="L576" s="784" t="n"/>
      <c r="M576" s="866" t="n"/>
      <c r="N576" s="784" t="n"/>
    </row>
    <row r="577" ht="13.5" customHeight="1" s="614">
      <c r="A577" s="780" t="n"/>
      <c r="B577" s="769" t="n"/>
      <c r="C577" s="785" t="inlineStr">
        <is>
          <t>モード確認</t>
        </is>
      </c>
      <c r="D577" s="786" t="n"/>
      <c r="E577" s="880" t="n"/>
      <c r="F577" s="788" t="n"/>
      <c r="G577" s="880" t="n"/>
      <c r="H577" s="788" t="n"/>
      <c r="I577" s="880" t="n"/>
      <c r="J577" s="788" t="n"/>
      <c r="K577" s="880" t="n"/>
      <c r="L577" s="788" t="n"/>
      <c r="M577" s="880" t="n"/>
      <c r="N577" s="788" t="n"/>
    </row>
    <row r="578" ht="13.5" customHeight="1" s="614">
      <c r="A578" s="881" t="inlineStr">
        <is>
          <t>床排水ポンプ</t>
        </is>
      </c>
      <c r="B578" s="768" t="n">
        <v>1</v>
      </c>
      <c r="C578" s="776" t="inlineStr">
        <is>
          <t>電流値</t>
        </is>
      </c>
      <c r="D578" s="777" t="inlineStr">
        <is>
          <t>Ａ</t>
        </is>
      </c>
      <c r="E578" s="778" t="n"/>
      <c r="F578" s="779" t="n"/>
      <c r="G578" s="851" t="n"/>
      <c r="H578" s="779" t="n"/>
      <c r="I578" s="851" t="n"/>
      <c r="J578" s="779" t="n"/>
      <c r="K578" s="851" t="n"/>
      <c r="L578" s="779" t="n"/>
      <c r="M578" s="851" t="n"/>
      <c r="N578" s="779" t="n"/>
    </row>
    <row r="579" ht="13.5" customHeight="1" s="614">
      <c r="A579" s="780" t="n"/>
      <c r="B579" s="780" t="n"/>
      <c r="C579" s="781" t="inlineStr">
        <is>
          <t>吐出圧力</t>
        </is>
      </c>
      <c r="D579" s="782" t="inlineStr">
        <is>
          <t>Mpa</t>
        </is>
      </c>
      <c r="E579" s="783" t="n"/>
      <c r="F579" s="784" t="n"/>
      <c r="G579" s="852" t="n"/>
      <c r="H579" s="784" t="n"/>
      <c r="I579" s="852" t="n"/>
      <c r="J579" s="784" t="n"/>
      <c r="K579" s="852" t="n"/>
      <c r="L579" s="784" t="n"/>
      <c r="M579" s="852" t="n"/>
      <c r="N579" s="784" t="n"/>
    </row>
    <row r="580" ht="13.5" customHeight="1" s="614">
      <c r="A580" s="780" t="n"/>
      <c r="B580" s="769" t="n"/>
      <c r="C580" s="785" t="inlineStr">
        <is>
          <t>異音、振動</t>
        </is>
      </c>
      <c r="D580" s="819" t="n"/>
      <c r="E580" s="793" t="n"/>
      <c r="F580" s="788" t="n"/>
      <c r="G580" s="855" t="n"/>
      <c r="H580" s="788" t="n"/>
      <c r="I580" s="853" t="n"/>
      <c r="J580" s="788" t="n"/>
      <c r="K580" s="853" t="n"/>
      <c r="L580" s="788" t="n"/>
      <c r="M580" s="853" t="n"/>
      <c r="N580" s="788" t="n"/>
    </row>
    <row r="581" ht="13.5" customHeight="1" s="614">
      <c r="A581" s="780" t="n"/>
      <c r="B581" s="768" t="n">
        <v>2</v>
      </c>
      <c r="C581" s="776" t="inlineStr">
        <is>
          <t>電流値</t>
        </is>
      </c>
      <c r="D581" s="777" t="inlineStr">
        <is>
          <t>Ａ</t>
        </is>
      </c>
      <c r="E581" s="778" t="n"/>
      <c r="F581" s="779" t="n"/>
      <c r="G581" s="851" t="n"/>
      <c r="H581" s="779" t="n"/>
      <c r="I581" s="851" t="n"/>
      <c r="J581" s="779" t="n"/>
      <c r="K581" s="851" t="n"/>
      <c r="L581" s="779" t="n"/>
      <c r="M581" s="851" t="n"/>
      <c r="N581" s="779" t="n"/>
    </row>
    <row r="582" ht="13.5" customHeight="1" s="614">
      <c r="A582" s="780" t="n"/>
      <c r="B582" s="780" t="n"/>
      <c r="C582" s="781" t="inlineStr">
        <is>
          <t>吐出圧力</t>
        </is>
      </c>
      <c r="D582" s="782" t="inlineStr">
        <is>
          <t>Mpa</t>
        </is>
      </c>
      <c r="E582" s="783" t="n"/>
      <c r="F582" s="784" t="n"/>
      <c r="G582" s="852" t="n"/>
      <c r="H582" s="784" t="n"/>
      <c r="I582" s="852" t="n"/>
      <c r="J582" s="784" t="n"/>
      <c r="K582" s="852" t="n"/>
      <c r="L582" s="784" t="n"/>
      <c r="M582" s="852" t="n"/>
      <c r="N582" s="784" t="n"/>
    </row>
    <row r="583" ht="13.5" customHeight="1" s="614">
      <c r="A583" s="780" t="n"/>
      <c r="B583" s="769" t="n"/>
      <c r="C583" s="785" t="inlineStr">
        <is>
          <t>異音、振動</t>
        </is>
      </c>
      <c r="D583" s="819" t="n"/>
      <c r="E583" s="793" t="n"/>
      <c r="F583" s="788" t="n"/>
      <c r="G583" s="855" t="n"/>
      <c r="H583" s="788" t="n"/>
      <c r="I583" s="853" t="n"/>
      <c r="J583" s="788" t="n"/>
      <c r="K583" s="853" t="n"/>
      <c r="L583" s="788" t="n"/>
      <c r="M583" s="853" t="n"/>
      <c r="N583" s="788" t="n"/>
    </row>
    <row r="584" ht="13.5" customHeight="1" s="614">
      <c r="A584" s="780" t="n"/>
      <c r="B584" s="800" t="inlineStr">
        <is>
          <t>―</t>
        </is>
      </c>
      <c r="C584" s="776" t="inlineStr">
        <is>
          <t>モード確認</t>
        </is>
      </c>
      <c r="D584" s="777" t="n"/>
      <c r="E584" s="789" t="n"/>
      <c r="F584" s="779" t="n"/>
      <c r="G584" s="854" t="n"/>
      <c r="H584" s="779" t="n"/>
      <c r="I584" s="854" t="n"/>
      <c r="J584" s="779" t="n"/>
      <c r="K584" s="854" t="n"/>
      <c r="L584" s="779" t="n"/>
      <c r="M584" s="854" t="n"/>
      <c r="N584" s="779" t="n"/>
    </row>
    <row r="585" ht="13.5" customHeight="1" s="614">
      <c r="A585" s="769" t="n"/>
      <c r="B585" s="769" t="n"/>
      <c r="C585" s="791" t="inlineStr">
        <is>
          <t>常用機選択</t>
        </is>
      </c>
      <c r="D585" s="792" t="n"/>
      <c r="E585" s="793" t="n"/>
      <c r="F585" s="788" t="n"/>
      <c r="G585" s="855" t="n"/>
      <c r="H585" s="788" t="n"/>
      <c r="I585" s="855" t="n"/>
      <c r="J585" s="788" t="n"/>
      <c r="K585" s="855" t="n"/>
      <c r="L585" s="788" t="n"/>
      <c r="M585" s="855" t="n"/>
      <c r="N585" s="788" t="n"/>
      <c r="P585" s="814" t="n"/>
      <c r="Q585" s="814" t="n"/>
      <c r="R585" s="712" t="n"/>
      <c r="S585" s="712" t="n"/>
    </row>
    <row r="586" ht="13.5" customHeight="1" s="614">
      <c r="A586" s="878" t="inlineStr">
        <is>
          <t>返流水ポンプ</t>
        </is>
      </c>
      <c r="B586" s="800" t="inlineStr">
        <is>
          <t>1</t>
        </is>
      </c>
      <c r="C586" s="776" t="inlineStr">
        <is>
          <t>電流値</t>
        </is>
      </c>
      <c r="D586" s="777" t="inlineStr">
        <is>
          <t>Ａ</t>
        </is>
      </c>
      <c r="E586" s="778" t="n"/>
      <c r="F586" s="779" t="n"/>
      <c r="G586" s="851" t="n"/>
      <c r="H586" s="779" t="n"/>
      <c r="I586" s="851" t="n"/>
      <c r="J586" s="779" t="n"/>
      <c r="K586" s="851" t="n"/>
      <c r="L586" s="779" t="n"/>
      <c r="M586" s="851" t="n"/>
      <c r="N586" s="779" t="n"/>
    </row>
    <row r="587" ht="13.5" customHeight="1" s="614">
      <c r="A587" s="780" t="n"/>
      <c r="B587" s="780" t="n"/>
      <c r="C587" s="781" t="inlineStr">
        <is>
          <t>吐出圧力</t>
        </is>
      </c>
      <c r="D587" s="782" t="inlineStr">
        <is>
          <t>Mpa</t>
        </is>
      </c>
      <c r="E587" s="783" t="n"/>
      <c r="F587" s="784" t="n"/>
      <c r="G587" s="852" t="n"/>
      <c r="H587" s="784" t="n"/>
      <c r="I587" s="852" t="n"/>
      <c r="J587" s="784" t="n"/>
      <c r="K587" s="852" t="n"/>
      <c r="L587" s="784" t="n"/>
      <c r="M587" s="852" t="n"/>
      <c r="N587" s="784" t="n"/>
    </row>
    <row r="588" ht="13.5" customHeight="1" s="614">
      <c r="A588" s="780" t="n"/>
      <c r="B588" s="769" t="n"/>
      <c r="C588" s="785" t="inlineStr">
        <is>
          <t>異音、振動</t>
        </is>
      </c>
      <c r="D588" s="786" t="n"/>
      <c r="E588" s="787" t="n"/>
      <c r="F588" s="788" t="n"/>
      <c r="G588" s="853" t="n"/>
      <c r="H588" s="788" t="n"/>
      <c r="I588" s="853" t="n"/>
      <c r="J588" s="788" t="n"/>
      <c r="K588" s="853" t="n"/>
      <c r="L588" s="788" t="n"/>
      <c r="M588" s="853" t="n"/>
      <c r="N588" s="788" t="n"/>
    </row>
    <row r="589" ht="13.5" customHeight="1" s="614">
      <c r="A589" s="780" t="n"/>
      <c r="B589" s="800" t="inlineStr">
        <is>
          <t>2</t>
        </is>
      </c>
      <c r="C589" s="776" t="inlineStr">
        <is>
          <t>電流値</t>
        </is>
      </c>
      <c r="D589" s="777" t="inlineStr">
        <is>
          <t>Ａ</t>
        </is>
      </c>
      <c r="E589" s="778" t="n"/>
      <c r="F589" s="779" t="n"/>
      <c r="G589" s="851" t="n"/>
      <c r="H589" s="779" t="n"/>
      <c r="I589" s="851" t="n"/>
      <c r="J589" s="779" t="n"/>
      <c r="K589" s="851" t="n"/>
      <c r="L589" s="779" t="n"/>
      <c r="M589" s="851" t="n"/>
      <c r="N589" s="779" t="n"/>
    </row>
    <row r="590" ht="13.5" customHeight="1" s="614">
      <c r="A590" s="780" t="n"/>
      <c r="B590" s="780" t="n"/>
      <c r="C590" s="781">
        <f>C587</f>
        <v/>
      </c>
      <c r="D590" s="782" t="inlineStr">
        <is>
          <t>Mpa</t>
        </is>
      </c>
      <c r="E590" s="783" t="n"/>
      <c r="F590" s="784" t="n"/>
      <c r="G590" s="852" t="n"/>
      <c r="H590" s="784" t="n"/>
      <c r="I590" s="852" t="n"/>
      <c r="J590" s="784" t="n"/>
      <c r="K590" s="852" t="n"/>
      <c r="L590" s="784" t="n"/>
      <c r="M590" s="852" t="n"/>
      <c r="N590" s="784" t="n"/>
    </row>
    <row r="591" ht="13.5" customHeight="1" s="614">
      <c r="A591" s="780" t="n"/>
      <c r="B591" s="769" t="n"/>
      <c r="C591" s="785" t="inlineStr">
        <is>
          <t>異音、振動</t>
        </is>
      </c>
      <c r="D591" s="786" t="n"/>
      <c r="E591" s="787" t="n"/>
      <c r="F591" s="788" t="n"/>
      <c r="G591" s="853" t="n"/>
      <c r="H591" s="788" t="n"/>
      <c r="I591" s="853" t="n"/>
      <c r="J591" s="788" t="n"/>
      <c r="K591" s="853" t="n"/>
      <c r="L591" s="788" t="n"/>
      <c r="M591" s="853" t="n"/>
      <c r="N591" s="788" t="n"/>
    </row>
    <row r="592" ht="13.5" customHeight="1" s="614">
      <c r="A592" s="780" t="n"/>
      <c r="B592" s="800" t="inlineStr">
        <is>
          <t>―</t>
        </is>
      </c>
      <c r="C592" s="776" t="inlineStr">
        <is>
          <t>モード確認</t>
        </is>
      </c>
      <c r="D592" s="777" t="n"/>
      <c r="E592" s="789" t="n"/>
      <c r="F592" s="779" t="n"/>
      <c r="G592" s="854" t="n"/>
      <c r="H592" s="779" t="n"/>
      <c r="I592" s="854" t="n"/>
      <c r="J592" s="779" t="n"/>
      <c r="K592" s="854" t="n"/>
      <c r="L592" s="779" t="n"/>
      <c r="M592" s="854" t="n"/>
      <c r="N592" s="779" t="n"/>
    </row>
    <row r="593" ht="13.5" customHeight="1" s="614">
      <c r="A593" s="769" t="n"/>
      <c r="B593" s="769" t="n"/>
      <c r="C593" s="791" t="inlineStr">
        <is>
          <t>常用機選択</t>
        </is>
      </c>
      <c r="D593" s="792" t="n"/>
      <c r="E593" s="793" t="n"/>
      <c r="F593" s="788" t="n"/>
      <c r="G593" s="855" t="n"/>
      <c r="H593" s="788" t="n"/>
      <c r="I593" s="855" t="n"/>
      <c r="J593" s="788" t="n"/>
      <c r="K593" s="855" t="n"/>
      <c r="L593" s="788" t="n"/>
      <c r="M593" s="855" t="n"/>
      <c r="N593" s="788" t="n"/>
    </row>
    <row r="594" ht="13.5" customHeight="1" s="614">
      <c r="A594" s="820" t="inlineStr">
        <is>
          <t xml:space="preserve">　○：良　　△：要注意　　×：要修理</t>
        </is>
      </c>
    </row>
    <row r="595" ht="21" customHeight="1" s="614">
      <c r="A595" s="764" t="inlineStr">
        <is>
          <t>機械設備日常点検表（２/２）</t>
        </is>
      </c>
      <c r="B595" s="674" t="n"/>
      <c r="C595" s="765" t="n"/>
      <c r="D595" s="674" t="n"/>
      <c r="E595" s="674" t="n"/>
      <c r="F595" s="674" t="n"/>
      <c r="G595" s="674" t="n"/>
      <c r="H595" s="674" t="n"/>
      <c r="I595" s="674" t="n"/>
      <c r="J595" s="674" t="n"/>
      <c r="K595" s="765">
        <f>K529</f>
        <v/>
      </c>
      <c r="L595" s="765" t="n"/>
      <c r="M595" s="765" t="n"/>
      <c r="N595" s="674" t="n"/>
    </row>
    <row r="596" ht="13.5" customHeight="1" s="614">
      <c r="A596" s="821" t="inlineStr">
        <is>
          <t>機　器　名</t>
        </is>
      </c>
      <c r="B596" s="768" t="inlineStr">
        <is>
          <t>No</t>
        </is>
      </c>
      <c r="C596" s="767" t="inlineStr">
        <is>
          <t>点 検 者</t>
        </is>
      </c>
      <c r="D596" s="627" t="n"/>
      <c r="E596" s="843" t="n"/>
      <c r="F596" s="626" t="n"/>
      <c r="G596" s="842" t="n"/>
      <c r="H596" s="626" t="n"/>
      <c r="I596" s="842" t="n"/>
      <c r="J596" s="626" t="n"/>
      <c r="K596" s="842" t="n"/>
      <c r="L596" s="626" t="n"/>
      <c r="M596" s="874" t="n"/>
      <c r="N596" s="627" t="n"/>
    </row>
    <row r="597" ht="13.5" customHeight="1" s="614">
      <c r="A597" s="769" t="n"/>
      <c r="B597" s="769" t="n"/>
      <c r="C597" s="770" t="inlineStr">
        <is>
          <t>点検内容</t>
        </is>
      </c>
      <c r="D597" s="627" t="n"/>
      <c r="E597" s="771" t="n"/>
      <c r="F597" s="627" t="n"/>
      <c r="G597" s="875" t="n"/>
      <c r="H597" s="627" t="n"/>
      <c r="I597" s="875" t="n"/>
      <c r="J597" s="627" t="n"/>
      <c r="K597" s="875" t="n"/>
      <c r="L597" s="627" t="n"/>
      <c r="M597" s="875" t="n"/>
      <c r="N597" s="627" t="n"/>
      <c r="O597" s="882" t="n"/>
    </row>
    <row r="598" ht="13.5" customHeight="1" s="614">
      <c r="A598" s="883" t="inlineStr">
        <is>
          <t>濃縮汚泥引抜ポンプ</t>
        </is>
      </c>
      <c r="B598" s="768" t="n">
        <v>1</v>
      </c>
      <c r="C598" s="809" t="inlineStr">
        <is>
          <t>電流値</t>
        </is>
      </c>
      <c r="D598" s="810" t="inlineStr">
        <is>
          <t>Ａ</t>
        </is>
      </c>
      <c r="E598" s="851" t="n"/>
      <c r="F598" s="779" t="n"/>
      <c r="G598" s="851" t="n"/>
      <c r="H598" s="779" t="n"/>
      <c r="I598" s="851" t="n"/>
      <c r="J598" s="779" t="n"/>
      <c r="K598" s="851" t="n"/>
      <c r="L598" s="779" t="n"/>
      <c r="M598" s="851" t="n"/>
      <c r="N598" s="779" t="n"/>
      <c r="Q598" s="884" t="n"/>
    </row>
    <row r="599" ht="13.5" customHeight="1" s="614">
      <c r="A599" s="780" t="n"/>
      <c r="B599" s="780" t="n"/>
      <c r="C599" s="781" t="inlineStr">
        <is>
          <t>吐出圧力</t>
        </is>
      </c>
      <c r="D599" s="782" t="inlineStr">
        <is>
          <t>Mpa</t>
        </is>
      </c>
      <c r="E599" s="852" t="n"/>
      <c r="F599" s="784" t="n"/>
      <c r="G599" s="852" t="n"/>
      <c r="H599" s="784" t="n"/>
      <c r="I599" s="852" t="n"/>
      <c r="J599" s="784" t="n"/>
      <c r="K599" s="852" t="n"/>
      <c r="L599" s="784" t="n"/>
      <c r="M599" s="852" t="n"/>
      <c r="N599" s="784" t="n"/>
      <c r="Q599" s="885" t="n"/>
    </row>
    <row r="600" ht="13.5" customHeight="1" s="614">
      <c r="A600" s="780" t="n"/>
      <c r="B600" s="769" t="n"/>
      <c r="C600" s="785" t="inlineStr">
        <is>
          <t>異音、振動</t>
        </is>
      </c>
      <c r="D600" s="786" t="n"/>
      <c r="E600" s="855" t="n"/>
      <c r="F600" s="788" t="n"/>
      <c r="G600" s="855" t="n"/>
      <c r="H600" s="788" t="n"/>
      <c r="I600" s="853" t="n"/>
      <c r="J600" s="788" t="n"/>
      <c r="K600" s="853" t="n"/>
      <c r="L600" s="788" t="n"/>
      <c r="M600" s="853" t="n"/>
      <c r="N600" s="788" t="n"/>
      <c r="Q600" s="886" t="n"/>
    </row>
    <row r="601" ht="13.5" customHeight="1" s="614">
      <c r="A601" s="780" t="n"/>
      <c r="B601" s="768" t="n">
        <v>2</v>
      </c>
      <c r="C601" s="776" t="inlineStr">
        <is>
          <t>電流値</t>
        </is>
      </c>
      <c r="D601" s="777" t="inlineStr">
        <is>
          <t>Ａ</t>
        </is>
      </c>
      <c r="E601" s="851" t="n"/>
      <c r="F601" s="779" t="n"/>
      <c r="G601" s="851" t="n"/>
      <c r="H601" s="779" t="n"/>
      <c r="I601" s="851" t="n"/>
      <c r="J601" s="779" t="n"/>
      <c r="K601" s="851" t="n"/>
      <c r="L601" s="779" t="n"/>
      <c r="M601" s="851" t="n"/>
      <c r="N601" s="779" t="n"/>
      <c r="Q601" s="884" t="n"/>
    </row>
    <row r="602" ht="13.5" customHeight="1" s="614">
      <c r="A602" s="780" t="n"/>
      <c r="B602" s="780" t="n"/>
      <c r="C602" s="781" t="inlineStr">
        <is>
          <t>吐出圧力</t>
        </is>
      </c>
      <c r="D602" s="782" t="inlineStr">
        <is>
          <t>Mpa</t>
        </is>
      </c>
      <c r="E602" s="852" t="n"/>
      <c r="F602" s="784" t="n"/>
      <c r="G602" s="852" t="n"/>
      <c r="H602" s="784" t="n"/>
      <c r="I602" s="852" t="n"/>
      <c r="J602" s="784" t="n"/>
      <c r="K602" s="852" t="n"/>
      <c r="L602" s="784" t="n"/>
      <c r="M602" s="852" t="n"/>
      <c r="N602" s="784" t="n"/>
      <c r="Q602" s="885" t="n"/>
    </row>
    <row r="603" ht="13.5" customHeight="1" s="614">
      <c r="A603" s="780" t="n"/>
      <c r="B603" s="769" t="n"/>
      <c r="C603" s="785" t="inlineStr">
        <is>
          <t>異音、振動</t>
        </is>
      </c>
      <c r="D603" s="786" t="n"/>
      <c r="E603" s="855" t="n"/>
      <c r="F603" s="788" t="n"/>
      <c r="G603" s="855" t="n"/>
      <c r="H603" s="788" t="n"/>
      <c r="I603" s="853" t="n"/>
      <c r="J603" s="788" t="n"/>
      <c r="K603" s="853" t="n"/>
      <c r="L603" s="788" t="n"/>
      <c r="M603" s="853" t="n"/>
      <c r="N603" s="788" t="n"/>
      <c r="Q603" s="886" t="n"/>
    </row>
    <row r="604" ht="13.5" customHeight="1" s="614">
      <c r="A604" s="780" t="n"/>
      <c r="B604" s="768" t="inlineStr">
        <is>
          <t>―</t>
        </is>
      </c>
      <c r="C604" s="776" t="inlineStr">
        <is>
          <t>モード確認</t>
        </is>
      </c>
      <c r="D604" s="777" t="n"/>
      <c r="E604" s="868" t="n"/>
      <c r="F604" s="824" t="n"/>
      <c r="G604" s="868" t="n"/>
      <c r="H604" s="824" t="n"/>
      <c r="I604" s="868" t="n"/>
      <c r="J604" s="824" t="n"/>
      <c r="K604" s="868" t="n"/>
      <c r="L604" s="824" t="n"/>
      <c r="M604" s="868" t="n"/>
      <c r="N604" s="824" t="n"/>
      <c r="Q604" s="886" t="n"/>
    </row>
    <row r="605" ht="13.5" customHeight="1" s="614">
      <c r="A605" s="769" t="n"/>
      <c r="B605" s="769" t="n"/>
      <c r="C605" s="791" t="inlineStr">
        <is>
          <t>常用機選択</t>
        </is>
      </c>
      <c r="D605" s="792" t="n"/>
      <c r="E605" s="855" t="n"/>
      <c r="F605" s="788" t="n"/>
      <c r="G605" s="855" t="n"/>
      <c r="H605" s="788" t="n"/>
      <c r="I605" s="855" t="n"/>
      <c r="J605" s="788" t="n"/>
      <c r="K605" s="855" t="n"/>
      <c r="L605" s="788" t="n"/>
      <c r="M605" s="855" t="n"/>
      <c r="N605" s="788" t="n"/>
      <c r="Q605" s="886" t="n"/>
    </row>
    <row r="606" ht="13.5" customHeight="1" s="614">
      <c r="A606" s="878" t="inlineStr">
        <is>
          <t>濃縮汚泥掻寄機</t>
        </is>
      </c>
      <c r="B606" s="768" t="inlineStr">
        <is>
          <t>―</t>
        </is>
      </c>
      <c r="C606" s="825" t="inlineStr">
        <is>
          <t>電流値</t>
        </is>
      </c>
      <c r="D606" s="777" t="inlineStr">
        <is>
          <t>Ａ</t>
        </is>
      </c>
      <c r="E606" s="826" t="n"/>
      <c r="F606" s="824" t="n"/>
      <c r="G606" s="887" t="n"/>
      <c r="H606" s="824" t="n"/>
      <c r="I606" s="887" t="n"/>
      <c r="J606" s="824" t="n"/>
      <c r="K606" s="887" t="n"/>
      <c r="L606" s="824" t="n"/>
      <c r="M606" s="887" t="n"/>
      <c r="N606" s="824" t="n"/>
    </row>
    <row r="607" ht="13.5" customHeight="1" s="614">
      <c r="A607" s="780" t="n"/>
      <c r="B607" s="780" t="n"/>
      <c r="C607" s="781" t="inlineStr">
        <is>
          <t>異音、振動</t>
        </is>
      </c>
      <c r="D607" s="782" t="n"/>
      <c r="E607" s="783" t="n"/>
      <c r="F607" s="784" t="n"/>
      <c r="G607" s="852" t="n"/>
      <c r="H607" s="784" t="n"/>
      <c r="I607" s="852" t="n"/>
      <c r="J607" s="784" t="n"/>
      <c r="K607" s="852" t="n"/>
      <c r="L607" s="784" t="n"/>
      <c r="M607" s="852" t="n"/>
      <c r="N607" s="784" t="n"/>
    </row>
    <row r="608" ht="13.5" customHeight="1" s="614">
      <c r="A608" s="769" t="n"/>
      <c r="B608" s="769" t="n"/>
      <c r="C608" s="785" t="inlineStr">
        <is>
          <t>モード確認</t>
        </is>
      </c>
      <c r="D608" s="786" t="n"/>
      <c r="E608" s="793" t="n"/>
      <c r="F608" s="788" t="n"/>
      <c r="G608" s="855" t="n"/>
      <c r="H608" s="788" t="n"/>
      <c r="I608" s="855" t="n"/>
      <c r="J608" s="788" t="n"/>
      <c r="K608" s="855" t="n"/>
      <c r="L608" s="788" t="n"/>
      <c r="M608" s="855" t="n"/>
      <c r="N608" s="788" t="n"/>
    </row>
    <row r="609" ht="13.5" customHeight="1" s="614">
      <c r="A609" s="835" t="inlineStr">
        <is>
          <t>スカムスキマー</t>
        </is>
      </c>
      <c r="B609" s="796" t="inlineStr">
        <is>
          <t>―</t>
        </is>
      </c>
      <c r="C609" s="825" t="inlineStr">
        <is>
          <t>動作状況</t>
        </is>
      </c>
      <c r="D609" s="829" t="n"/>
      <c r="E609" s="797" t="n"/>
      <c r="F609" s="779" t="n"/>
      <c r="G609" s="856" t="n"/>
      <c r="H609" s="779" t="n"/>
      <c r="I609" s="856" t="n"/>
      <c r="J609" s="779" t="n"/>
      <c r="K609" s="856" t="n"/>
      <c r="L609" s="779" t="n"/>
      <c r="M609" s="856" t="n"/>
      <c r="N609" s="779" t="n"/>
    </row>
    <row r="610" ht="13.5" customHeight="1" s="614">
      <c r="A610" s="769" t="n"/>
      <c r="B610" s="769" t="n"/>
      <c r="C610" s="785" t="inlineStr">
        <is>
          <t>スカムの状況</t>
        </is>
      </c>
      <c r="D610" s="786" t="n"/>
      <c r="E610" s="828" t="n"/>
      <c r="F610" s="654" t="n"/>
      <c r="G610" s="871" t="n"/>
      <c r="H610" s="654" t="n"/>
      <c r="I610" s="871" t="n"/>
      <c r="J610" s="654" t="n"/>
      <c r="K610" s="871" t="n"/>
      <c r="L610" s="654" t="n"/>
      <c r="M610" s="871" t="n"/>
      <c r="N610" s="654" t="n"/>
    </row>
    <row r="611" ht="13.5" customHeight="1" s="614">
      <c r="A611" s="876" t="inlineStr">
        <is>
          <t>濃縮汚泥攪拌機</t>
        </is>
      </c>
      <c r="B611" s="804" t="inlineStr">
        <is>
          <t>―</t>
        </is>
      </c>
      <c r="C611" s="825" t="inlineStr">
        <is>
          <t>電流値</t>
        </is>
      </c>
      <c r="D611" s="777" t="inlineStr">
        <is>
          <t>Ａ</t>
        </is>
      </c>
      <c r="E611" s="797" t="n"/>
      <c r="F611" s="779" t="n"/>
      <c r="G611" s="856" t="n"/>
      <c r="H611" s="779" t="n"/>
      <c r="I611" s="856" t="n"/>
      <c r="J611" s="779" t="n"/>
      <c r="K611" s="856" t="n"/>
      <c r="L611" s="779" t="n"/>
      <c r="M611" s="856" t="n"/>
      <c r="N611" s="779" t="n"/>
    </row>
    <row r="612" ht="13.5" customHeight="1" s="614">
      <c r="A612" s="780" t="n"/>
      <c r="B612" s="780" t="n"/>
      <c r="C612" s="781" t="inlineStr">
        <is>
          <t>異音、振動</t>
        </is>
      </c>
      <c r="D612" s="782" t="n"/>
      <c r="E612" s="798" t="n"/>
      <c r="F612" s="784" t="n"/>
      <c r="G612" s="857" t="n"/>
      <c r="H612" s="784" t="n"/>
      <c r="I612" s="852" t="n"/>
      <c r="J612" s="784" t="n"/>
      <c r="K612" s="852" t="n"/>
      <c r="L612" s="784" t="n"/>
      <c r="M612" s="852" t="n"/>
      <c r="N612" s="784" t="n"/>
    </row>
    <row r="613" ht="13.5" customHeight="1" s="614">
      <c r="A613" s="780" t="n"/>
      <c r="B613" s="780" t="n"/>
      <c r="C613" s="809" t="inlineStr">
        <is>
          <t>モード確認</t>
        </is>
      </c>
      <c r="D613" s="810" t="n"/>
      <c r="E613" s="793" t="n"/>
      <c r="F613" s="788" t="n"/>
      <c r="G613" s="855" t="n"/>
      <c r="H613" s="788" t="n"/>
      <c r="I613" s="855" t="n"/>
      <c r="J613" s="788" t="n"/>
      <c r="K613" s="855" t="n"/>
      <c r="L613" s="788" t="n"/>
      <c r="M613" s="855" t="n"/>
      <c r="N613" s="788" t="n"/>
    </row>
    <row r="614" ht="13.5" customHeight="1" s="614">
      <c r="A614" s="888" t="inlineStr">
        <is>
          <t>濃縮汚泥曝気ﾌﾞﾛﾜ</t>
        </is>
      </c>
      <c r="B614" s="768" t="inlineStr">
        <is>
          <t>―</t>
        </is>
      </c>
      <c r="C614" s="825" t="inlineStr">
        <is>
          <t>電流値</t>
        </is>
      </c>
      <c r="D614" s="829" t="inlineStr">
        <is>
          <t>Ａ</t>
        </is>
      </c>
      <c r="E614" s="797" t="n"/>
      <c r="F614" s="779" t="n"/>
      <c r="G614" s="856" t="n"/>
      <c r="H614" s="779" t="n"/>
      <c r="I614" s="856" t="n"/>
      <c r="J614" s="779" t="n"/>
      <c r="K614" s="856" t="n"/>
      <c r="L614" s="779" t="n"/>
      <c r="M614" s="856" t="n"/>
      <c r="N614" s="779" t="n"/>
    </row>
    <row r="615" ht="13.5" customHeight="1" s="614">
      <c r="A615" s="780" t="n"/>
      <c r="B615" s="780" t="n"/>
      <c r="C615" s="781" t="inlineStr">
        <is>
          <t>異音、振動</t>
        </is>
      </c>
      <c r="D615" s="782" t="n"/>
      <c r="E615" s="798" t="n"/>
      <c r="F615" s="784" t="n"/>
      <c r="G615" s="857" t="n"/>
      <c r="H615" s="784" t="n"/>
      <c r="I615" s="852" t="n"/>
      <c r="J615" s="784" t="n"/>
      <c r="K615" s="852" t="n"/>
      <c r="L615" s="784" t="n"/>
      <c r="M615" s="852" t="n"/>
      <c r="N615" s="784" t="n"/>
    </row>
    <row r="616" ht="13.5" customHeight="1" s="614">
      <c r="A616" s="769" t="n"/>
      <c r="B616" s="769" t="n"/>
      <c r="C616" s="791" t="inlineStr">
        <is>
          <t>モード確認</t>
        </is>
      </c>
      <c r="D616" s="792" t="n"/>
      <c r="E616" s="793" t="n"/>
      <c r="F616" s="788" t="n"/>
      <c r="G616" s="855" t="n"/>
      <c r="H616" s="788" t="n"/>
      <c r="I616" s="855" t="n"/>
      <c r="J616" s="788" t="n"/>
      <c r="K616" s="855" t="n"/>
      <c r="L616" s="788" t="n"/>
      <c r="M616" s="855" t="n"/>
      <c r="N616" s="788" t="n"/>
    </row>
    <row r="617" ht="13.5" customHeight="1" s="614">
      <c r="A617" s="879" t="inlineStr">
        <is>
          <t>自動給水装置</t>
        </is>
      </c>
      <c r="B617" s="796" t="n">
        <v>1</v>
      </c>
      <c r="C617" s="809" t="inlineStr">
        <is>
          <t>電流値</t>
        </is>
      </c>
      <c r="D617" s="810" t="inlineStr">
        <is>
          <t>Ａ</t>
        </is>
      </c>
      <c r="E617" s="830" t="n"/>
      <c r="F617" s="824" t="n"/>
      <c r="G617" s="872" t="n"/>
      <c r="H617" s="824" t="n"/>
      <c r="I617" s="872" t="n"/>
      <c r="J617" s="824" t="n"/>
      <c r="K617" s="872" t="n"/>
      <c r="L617" s="824" t="n"/>
      <c r="M617" s="872" t="n"/>
      <c r="N617" s="824" t="n"/>
    </row>
    <row r="618" ht="13.5" customHeight="1" s="614">
      <c r="A618" s="780" t="n"/>
      <c r="B618" s="769" t="n"/>
      <c r="C618" s="791" t="inlineStr">
        <is>
          <t>異音、振動等</t>
        </is>
      </c>
      <c r="D618" s="792" t="n"/>
      <c r="E618" s="793" t="n"/>
      <c r="F618" s="788" t="n"/>
      <c r="G618" s="855" t="n"/>
      <c r="H618" s="788" t="n"/>
      <c r="I618" s="853" t="n"/>
      <c r="J618" s="788" t="n"/>
      <c r="K618" s="853" t="n"/>
      <c r="L618" s="788" t="n"/>
      <c r="M618" s="853" t="n"/>
      <c r="N618" s="788" t="n"/>
    </row>
    <row r="619" ht="13.5" customHeight="1" s="614">
      <c r="A619" s="780" t="n"/>
      <c r="B619" s="767" t="n">
        <v>2</v>
      </c>
      <c r="C619" s="776" t="inlineStr">
        <is>
          <t>電流値</t>
        </is>
      </c>
      <c r="D619" s="777" t="inlineStr">
        <is>
          <t>Ａ</t>
        </is>
      </c>
      <c r="E619" s="830" t="n"/>
      <c r="F619" s="824" t="n"/>
      <c r="G619" s="872" t="n"/>
      <c r="H619" s="824" t="n"/>
      <c r="I619" s="872" t="n"/>
      <c r="J619" s="824" t="n"/>
      <c r="K619" s="872" t="n"/>
      <c r="L619" s="824" t="n"/>
      <c r="M619" s="872" t="n"/>
      <c r="N619" s="824" t="n"/>
    </row>
    <row r="620" ht="13.5" customHeight="1" s="614">
      <c r="A620" s="780" t="n"/>
      <c r="B620" s="769" t="n"/>
      <c r="C620" s="791" t="inlineStr">
        <is>
          <t>異音、振動等</t>
        </is>
      </c>
      <c r="D620" s="792" t="n"/>
      <c r="E620" s="793" t="n"/>
      <c r="F620" s="788" t="n"/>
      <c r="G620" s="855" t="n"/>
      <c r="H620" s="788" t="n"/>
      <c r="I620" s="853" t="n"/>
      <c r="J620" s="788" t="n"/>
      <c r="K620" s="853" t="n"/>
      <c r="L620" s="788" t="n"/>
      <c r="M620" s="853" t="n"/>
      <c r="N620" s="788" t="n"/>
    </row>
    <row r="621" ht="13.5" customHeight="1" s="614">
      <c r="A621" s="780" t="n"/>
      <c r="B621" s="804" t="inlineStr">
        <is>
          <t>―</t>
        </is>
      </c>
      <c r="C621" s="776" t="inlineStr">
        <is>
          <t>モード確認</t>
        </is>
      </c>
      <c r="D621" s="777" t="n"/>
      <c r="E621" s="831" t="n"/>
      <c r="F621" s="627" t="n"/>
      <c r="G621" s="873" t="n"/>
      <c r="H621" s="627" t="n"/>
      <c r="I621" s="873" t="n"/>
      <c r="J621" s="627" t="n"/>
      <c r="K621" s="873" t="n"/>
      <c r="L621" s="627" t="n"/>
      <c r="M621" s="873" t="n"/>
      <c r="N621" s="627" t="n"/>
      <c r="P621" s="712" t="n"/>
      <c r="Q621" s="712" t="n"/>
      <c r="R621" s="712" t="n"/>
    </row>
    <row r="622" ht="13.5" customHeight="1" s="614">
      <c r="A622" s="832" t="inlineStr">
        <is>
          <t>混和池ＢＧ</t>
        </is>
      </c>
      <c r="B622" s="768" t="inlineStr">
        <is>
          <t>―</t>
        </is>
      </c>
      <c r="C622" s="832" t="inlineStr">
        <is>
          <t>開閉</t>
        </is>
      </c>
      <c r="D622" s="627" t="n"/>
      <c r="E622" s="831" t="n"/>
      <c r="F622" s="627" t="n"/>
      <c r="G622" s="873" t="n"/>
      <c r="H622" s="627" t="n"/>
      <c r="I622" s="873" t="n"/>
      <c r="J622" s="627" t="n"/>
      <c r="K622" s="873" t="n"/>
      <c r="L622" s="627" t="n"/>
      <c r="M622" s="873" t="n"/>
      <c r="N622" s="627" t="n"/>
      <c r="P622" s="712" t="n"/>
      <c r="Q622" s="712" t="n"/>
    </row>
    <row r="623" ht="13.5" customHeight="1" s="614">
      <c r="A623" s="772" t="inlineStr">
        <is>
          <t>塩素接触装置</t>
        </is>
      </c>
      <c r="B623" s="768" t="inlineStr">
        <is>
          <t>―</t>
        </is>
      </c>
      <c r="C623" s="773" t="inlineStr">
        <is>
          <t>薬剤残量確認</t>
        </is>
      </c>
      <c r="D623" s="805" t="n"/>
      <c r="E623" s="775" t="n"/>
      <c r="F623" s="627" t="n"/>
      <c r="G623" s="850" t="n"/>
      <c r="H623" s="627" t="n"/>
      <c r="I623" s="850" t="n"/>
      <c r="J623" s="627" t="n"/>
      <c r="K623" s="850" t="n"/>
      <c r="L623" s="627" t="n"/>
      <c r="M623" s="850" t="n"/>
      <c r="N623" s="627" t="n"/>
    </row>
    <row r="624" ht="13.5" customHeight="1" s="614">
      <c r="A624" s="878" t="inlineStr">
        <is>
          <t>脱臭ファン</t>
        </is>
      </c>
      <c r="B624" s="768" t="inlineStr">
        <is>
          <t>―</t>
        </is>
      </c>
      <c r="C624" s="776" t="inlineStr">
        <is>
          <t>電流値</t>
        </is>
      </c>
      <c r="D624" s="777" t="inlineStr">
        <is>
          <t>Ａ</t>
        </is>
      </c>
      <c r="E624" s="833" t="n"/>
      <c r="F624" s="824" t="n"/>
      <c r="G624" s="861" t="n"/>
      <c r="H624" s="824" t="n"/>
      <c r="I624" s="861" t="n"/>
      <c r="J624" s="824" t="n"/>
      <c r="K624" s="861" t="n"/>
      <c r="L624" s="824" t="n"/>
      <c r="M624" s="861" t="n"/>
      <c r="N624" s="824" t="n"/>
    </row>
    <row r="625" ht="13.5" customHeight="1" s="614">
      <c r="A625" s="780" t="n"/>
      <c r="B625" s="780" t="n"/>
      <c r="C625" s="834" t="inlineStr">
        <is>
          <t>ボルト・ナットの緩み</t>
        </is>
      </c>
      <c r="D625" s="784" t="n"/>
      <c r="E625" s="783" t="n"/>
      <c r="F625" s="784" t="n"/>
      <c r="G625" s="852" t="n"/>
      <c r="H625" s="784" t="n"/>
      <c r="I625" s="852" t="n"/>
      <c r="J625" s="784" t="n"/>
      <c r="K625" s="852" t="n"/>
      <c r="L625" s="784" t="n"/>
      <c r="M625" s="852" t="n"/>
      <c r="N625" s="784" t="n"/>
    </row>
    <row r="626" ht="13.5" customHeight="1" s="614">
      <c r="A626" s="769" t="n"/>
      <c r="B626" s="769" t="n"/>
      <c r="C626" s="835" t="inlineStr">
        <is>
          <t>モード確認</t>
        </is>
      </c>
      <c r="D626" s="654" t="n"/>
      <c r="E626" s="793" t="n"/>
      <c r="F626" s="788" t="n"/>
      <c r="G626" s="855" t="n"/>
      <c r="H626" s="788" t="n"/>
      <c r="I626" s="855" t="n"/>
      <c r="J626" s="788" t="n"/>
      <c r="K626" s="855" t="n"/>
      <c r="L626" s="788" t="n"/>
      <c r="M626" s="855" t="n"/>
      <c r="N626" s="788" t="n"/>
    </row>
    <row r="627" ht="13.5" customHeight="1" s="614">
      <c r="A627" s="772" t="inlineStr">
        <is>
          <t>水処理用ﾀﾞﾝﾊﾟ</t>
        </is>
      </c>
      <c r="B627" s="768" t="inlineStr">
        <is>
          <t>―</t>
        </is>
      </c>
      <c r="C627" s="836" t="inlineStr">
        <is>
          <t>異音、振動</t>
        </is>
      </c>
      <c r="D627" s="779" t="n"/>
      <c r="E627" s="837" t="n"/>
      <c r="F627" s="824" t="n"/>
      <c r="G627" s="858" t="n"/>
      <c r="H627" s="824" t="n"/>
      <c r="I627" s="858" t="n"/>
      <c r="J627" s="824" t="n"/>
      <c r="K627" s="858" t="n"/>
      <c r="L627" s="824" t="n"/>
      <c r="M627" s="858" t="n"/>
      <c r="N627" s="824" t="n"/>
      <c r="P627" s="712" t="n"/>
      <c r="Q627" s="712" t="n"/>
    </row>
    <row r="628" ht="13.5" customHeight="1" s="614">
      <c r="A628" s="769" t="n"/>
      <c r="B628" s="769" t="n"/>
      <c r="C628" s="838" t="inlineStr">
        <is>
          <t>モード確認</t>
        </is>
      </c>
      <c r="D628" s="788" t="n"/>
      <c r="E628" s="793" t="n"/>
      <c r="F628" s="788" t="n"/>
      <c r="G628" s="855" t="n"/>
      <c r="H628" s="788" t="n"/>
      <c r="I628" s="855" t="n"/>
      <c r="J628" s="788" t="n"/>
      <c r="K628" s="855" t="n"/>
      <c r="L628" s="788" t="n"/>
      <c r="M628" s="855" t="n"/>
      <c r="N628" s="788" t="n"/>
    </row>
    <row r="629" ht="13.5" customHeight="1" s="614">
      <c r="A629" s="772" t="inlineStr">
        <is>
          <t>汚泥処理用ﾀﾞﾝﾊﾟ</t>
        </is>
      </c>
      <c r="B629" s="768" t="inlineStr">
        <is>
          <t>―</t>
        </is>
      </c>
      <c r="C629" s="825" t="inlineStr">
        <is>
          <t>異音、振動</t>
        </is>
      </c>
      <c r="D629" s="829" t="n"/>
      <c r="E629" s="837" t="n"/>
      <c r="F629" s="824" t="n"/>
      <c r="G629" s="858" t="n"/>
      <c r="H629" s="824" t="n"/>
      <c r="I629" s="858" t="n"/>
      <c r="J629" s="824" t="n"/>
      <c r="K629" s="858" t="n"/>
      <c r="L629" s="824" t="n"/>
      <c r="M629" s="858" t="n"/>
      <c r="N629" s="824" t="n"/>
    </row>
    <row r="630" ht="13.5" customHeight="1" s="614">
      <c r="A630" s="769" t="n"/>
      <c r="B630" s="769" t="n"/>
      <c r="C630" s="791" t="inlineStr">
        <is>
          <t>モード確認</t>
        </is>
      </c>
      <c r="D630" s="792" t="n"/>
      <c r="E630" s="793" t="n"/>
      <c r="F630" s="788" t="n"/>
      <c r="G630" s="855" t="n"/>
      <c r="H630" s="788" t="n"/>
      <c r="I630" s="855" t="n"/>
      <c r="J630" s="788" t="n"/>
      <c r="K630" s="855" t="n"/>
      <c r="L630" s="788" t="n"/>
      <c r="M630" s="855" t="n"/>
      <c r="N630" s="788" t="n"/>
    </row>
    <row r="631" ht="13.5" customHeight="1" s="614">
      <c r="A631" s="772" t="inlineStr">
        <is>
          <t>吸着脱装置</t>
        </is>
      </c>
      <c r="B631" s="768" t="inlineStr">
        <is>
          <t>―</t>
        </is>
      </c>
      <c r="C631" s="836" t="inlineStr">
        <is>
          <t>マノメータ等の作動確認</t>
        </is>
      </c>
      <c r="D631" s="779" t="n"/>
      <c r="E631" s="837" t="n"/>
      <c r="F631" s="824" t="n"/>
      <c r="G631" s="858" t="n"/>
      <c r="H631" s="824" t="n"/>
      <c r="I631" s="858" t="n"/>
      <c r="J631" s="824" t="n"/>
      <c r="K631" s="858" t="n"/>
      <c r="L631" s="824" t="n"/>
      <c r="M631" s="858" t="n"/>
      <c r="N631" s="824" t="n"/>
    </row>
    <row r="632" ht="13.5" customHeight="1" s="614">
      <c r="A632" s="769" t="n"/>
      <c r="B632" s="769" t="n"/>
      <c r="C632" s="838">
        <f>C629</f>
        <v/>
      </c>
      <c r="D632" s="788" t="n"/>
      <c r="E632" s="787" t="n"/>
      <c r="F632" s="788" t="n"/>
      <c r="G632" s="853" t="n"/>
      <c r="H632" s="788" t="n"/>
      <c r="I632" s="853" t="n"/>
      <c r="J632" s="788" t="n"/>
      <c r="K632" s="853" t="n"/>
      <c r="L632" s="788" t="n"/>
      <c r="M632" s="853" t="n"/>
      <c r="N632" s="788" t="n"/>
      <c r="P632" s="712" t="n"/>
      <c r="Q632" s="712" t="n"/>
      <c r="R632" s="712" t="n"/>
    </row>
    <row r="633" ht="13.5" customHeight="1" s="614">
      <c r="A633" s="772" t="inlineStr">
        <is>
          <t>自家発室給気ファン</t>
        </is>
      </c>
      <c r="B633" s="768" t="inlineStr">
        <is>
          <t>―</t>
        </is>
      </c>
      <c r="C633" s="825" t="inlineStr">
        <is>
          <t>異音、振動</t>
        </is>
      </c>
      <c r="D633" s="829" t="n"/>
      <c r="E633" s="837" t="n"/>
      <c r="F633" s="824" t="n"/>
      <c r="G633" s="858" t="n"/>
      <c r="H633" s="824" t="n"/>
      <c r="I633" s="858" t="n"/>
      <c r="J633" s="824" t="n"/>
      <c r="K633" s="858" t="n"/>
      <c r="L633" s="824" t="n"/>
      <c r="M633" s="858" t="n"/>
      <c r="N633" s="824" t="n"/>
    </row>
    <row r="634" ht="13.5" customHeight="1" s="614">
      <c r="A634" s="769" t="n"/>
      <c r="B634" s="769" t="n"/>
      <c r="C634" s="791" t="inlineStr">
        <is>
          <t>モード確認</t>
        </is>
      </c>
      <c r="D634" s="792" t="n"/>
      <c r="E634" s="793" t="n"/>
      <c r="F634" s="788" t="n"/>
      <c r="G634" s="855" t="n"/>
      <c r="H634" s="788" t="n"/>
      <c r="I634" s="855" t="n"/>
      <c r="J634" s="788" t="n"/>
      <c r="K634" s="855" t="n"/>
      <c r="L634" s="788" t="n"/>
      <c r="M634" s="855" t="n"/>
      <c r="N634" s="788" t="n"/>
    </row>
    <row r="635" ht="13.5" customHeight="1" s="614">
      <c r="A635" s="772" t="inlineStr">
        <is>
          <t>自家発室排気ファン</t>
        </is>
      </c>
      <c r="B635" s="768" t="inlineStr">
        <is>
          <t>―</t>
        </is>
      </c>
      <c r="C635" s="825" t="inlineStr">
        <is>
          <t>異音、振動</t>
        </is>
      </c>
      <c r="D635" s="829" t="n"/>
      <c r="E635" s="837" t="n"/>
      <c r="F635" s="824" t="n"/>
      <c r="G635" s="858" t="n"/>
      <c r="H635" s="824" t="n"/>
      <c r="I635" s="858" t="n"/>
      <c r="J635" s="824" t="n"/>
      <c r="K635" s="858" t="n"/>
      <c r="L635" s="824" t="n"/>
      <c r="M635" s="858" t="n"/>
      <c r="N635" s="824" t="n"/>
    </row>
    <row r="636" ht="13.5" customHeight="1" s="614">
      <c r="A636" s="769" t="n"/>
      <c r="B636" s="769" t="n"/>
      <c r="C636" s="791" t="inlineStr">
        <is>
          <t>モード確認</t>
        </is>
      </c>
      <c r="D636" s="792" t="n"/>
      <c r="E636" s="793" t="n"/>
      <c r="F636" s="788" t="n"/>
      <c r="G636" s="855" t="n"/>
      <c r="H636" s="788" t="n"/>
      <c r="I636" s="855" t="n"/>
      <c r="J636" s="788" t="n"/>
      <c r="K636" s="855" t="n"/>
      <c r="L636" s="788" t="n"/>
      <c r="M636" s="855" t="n"/>
      <c r="N636" s="788" t="n"/>
    </row>
    <row r="637" ht="13.5" customHeight="1" s="614">
      <c r="A637" s="772" t="inlineStr">
        <is>
          <t>汚泥ポンプ室給気ファン</t>
        </is>
      </c>
      <c r="B637" s="768" t="inlineStr">
        <is>
          <t>―</t>
        </is>
      </c>
      <c r="C637" s="825" t="inlineStr">
        <is>
          <t>異音、振動</t>
        </is>
      </c>
      <c r="D637" s="829" t="n"/>
      <c r="E637" s="837" t="n"/>
      <c r="F637" s="824" t="n"/>
      <c r="G637" s="858" t="n"/>
      <c r="H637" s="824" t="n"/>
      <c r="I637" s="858" t="n"/>
      <c r="J637" s="824" t="n"/>
      <c r="K637" s="858" t="n"/>
      <c r="L637" s="824" t="n"/>
      <c r="M637" s="858" t="n"/>
      <c r="N637" s="824" t="n"/>
    </row>
    <row r="638" ht="13.5" customHeight="1" s="614">
      <c r="A638" s="769" t="n"/>
      <c r="B638" s="769" t="n"/>
      <c r="C638" s="791" t="inlineStr">
        <is>
          <t>モード確認</t>
        </is>
      </c>
      <c r="D638" s="792" t="n"/>
      <c r="E638" s="793" t="n"/>
      <c r="F638" s="788" t="n"/>
      <c r="G638" s="855" t="n"/>
      <c r="H638" s="788" t="n"/>
      <c r="I638" s="855" t="n"/>
      <c r="J638" s="788" t="n"/>
      <c r="K638" s="855" t="n"/>
      <c r="L638" s="788" t="n"/>
      <c r="M638" s="855" t="n"/>
      <c r="N638" s="788" t="n"/>
    </row>
    <row r="639" ht="13.5" customHeight="1" s="614">
      <c r="A639" s="772" t="inlineStr">
        <is>
          <t>汚泥ポンプ室排気ファン</t>
        </is>
      </c>
      <c r="B639" s="768" t="inlineStr">
        <is>
          <t>―</t>
        </is>
      </c>
      <c r="C639" s="825" t="inlineStr">
        <is>
          <t>異音、振動</t>
        </is>
      </c>
      <c r="D639" s="829" t="n"/>
      <c r="E639" s="837" t="n"/>
      <c r="F639" s="824" t="n"/>
      <c r="G639" s="858" t="n"/>
      <c r="H639" s="824" t="n"/>
      <c r="I639" s="858" t="n"/>
      <c r="J639" s="824" t="n"/>
      <c r="K639" s="858" t="n"/>
      <c r="L639" s="824" t="n"/>
      <c r="M639" s="858" t="n"/>
      <c r="N639" s="824" t="n"/>
    </row>
    <row r="640" ht="13.5" customHeight="1" s="614">
      <c r="A640" s="769" t="n"/>
      <c r="B640" s="769" t="n"/>
      <c r="C640" s="791" t="inlineStr">
        <is>
          <t>モード確認</t>
        </is>
      </c>
      <c r="D640" s="792" t="n"/>
      <c r="E640" s="793" t="n"/>
      <c r="F640" s="788" t="n"/>
      <c r="G640" s="855" t="n"/>
      <c r="H640" s="788" t="n"/>
      <c r="I640" s="855" t="n"/>
      <c r="J640" s="788" t="n"/>
      <c r="K640" s="855" t="n"/>
      <c r="L640" s="788" t="n"/>
      <c r="M640" s="855" t="n"/>
      <c r="N640" s="788" t="n"/>
    </row>
    <row r="641" ht="13.5" customHeight="1" s="614">
      <c r="A641" s="772" t="inlineStr">
        <is>
          <t>脱水機室給気ファン</t>
        </is>
      </c>
      <c r="B641" s="768" t="inlineStr">
        <is>
          <t>―</t>
        </is>
      </c>
      <c r="C641" s="825" t="inlineStr">
        <is>
          <t>異音、振動</t>
        </is>
      </c>
      <c r="D641" s="829" t="n"/>
      <c r="E641" s="823" t="n"/>
      <c r="F641" s="824" t="n"/>
      <c r="G641" s="868" t="n"/>
      <c r="H641" s="824" t="n"/>
      <c r="I641" s="858" t="n"/>
      <c r="J641" s="824" t="n"/>
      <c r="K641" s="858" t="n"/>
      <c r="L641" s="824" t="n"/>
      <c r="M641" s="858" t="n"/>
      <c r="N641" s="824" t="n"/>
    </row>
    <row r="642" ht="13.5" customHeight="1" s="614">
      <c r="A642" s="769" t="n"/>
      <c r="B642" s="769" t="n"/>
      <c r="C642" s="791" t="inlineStr">
        <is>
          <t>モード確認</t>
        </is>
      </c>
      <c r="D642" s="792" t="n"/>
      <c r="E642" s="793" t="n"/>
      <c r="F642" s="788" t="n"/>
      <c r="G642" s="855" t="n"/>
      <c r="H642" s="788" t="n"/>
      <c r="I642" s="855" t="n"/>
      <c r="J642" s="788" t="n"/>
      <c r="K642" s="855" t="n"/>
      <c r="L642" s="788" t="n"/>
      <c r="M642" s="855" t="n"/>
      <c r="N642" s="788" t="n"/>
    </row>
    <row r="643" ht="13.5" customHeight="1" s="614">
      <c r="A643" s="772" t="inlineStr">
        <is>
          <t>脱水機室排気ファン</t>
        </is>
      </c>
      <c r="B643" s="768" t="inlineStr">
        <is>
          <t>―</t>
        </is>
      </c>
      <c r="C643" s="825" t="inlineStr">
        <is>
          <t>異音、振動</t>
        </is>
      </c>
      <c r="D643" s="829" t="n"/>
      <c r="E643" s="823" t="n"/>
      <c r="F643" s="824" t="n"/>
      <c r="G643" s="868" t="n"/>
      <c r="H643" s="824" t="n"/>
      <c r="I643" s="858" t="n"/>
      <c r="J643" s="824" t="n"/>
      <c r="K643" s="858" t="n"/>
      <c r="L643" s="824" t="n"/>
      <c r="M643" s="858" t="n"/>
      <c r="N643" s="824" t="n"/>
    </row>
    <row r="644" ht="13.5" customHeight="1" s="614">
      <c r="A644" s="769" t="n"/>
      <c r="B644" s="769" t="n"/>
      <c r="C644" s="791" t="inlineStr">
        <is>
          <t>モード確認</t>
        </is>
      </c>
      <c r="D644" s="792" t="n"/>
      <c r="E644" s="793" t="n"/>
      <c r="F644" s="788" t="n"/>
      <c r="G644" s="855" t="n"/>
      <c r="H644" s="788" t="n"/>
      <c r="I644" s="855" t="n"/>
      <c r="J644" s="788" t="n"/>
      <c r="K644" s="855" t="n"/>
      <c r="L644" s="788" t="n"/>
      <c r="M644" s="855" t="n"/>
      <c r="N644" s="788" t="n"/>
    </row>
    <row r="645" ht="13.5" customHeight="1" s="614">
      <c r="A645" s="809" t="inlineStr">
        <is>
          <t xml:space="preserve">　　備　　考</t>
        </is>
      </c>
      <c r="B645" s="839" t="n"/>
      <c r="C645" s="839" t="n"/>
      <c r="D645" s="839" t="n"/>
      <c r="E645" s="839" t="n"/>
      <c r="F645" s="839" t="n"/>
      <c r="G645" s="839" t="n"/>
      <c r="H645" s="839" t="n"/>
      <c r="I645" s="839" t="n"/>
      <c r="J645" s="839" t="n"/>
      <c r="K645" s="839" t="n"/>
      <c r="L645" s="839" t="n"/>
      <c r="M645" s="839" t="n"/>
      <c r="N645" s="840" t="n"/>
    </row>
    <row r="646" ht="13.5" customHeight="1" s="614">
      <c r="A646" s="809" t="n"/>
      <c r="B646" s="839" t="n"/>
      <c r="C646" s="839" t="n"/>
      <c r="D646" s="839" t="n"/>
      <c r="E646" s="839" t="n"/>
      <c r="F646" s="839" t="n"/>
      <c r="G646" s="839" t="n"/>
      <c r="H646" s="839" t="n"/>
      <c r="I646" s="839" t="n"/>
      <c r="J646" s="839" t="n"/>
      <c r="K646" s="839" t="n"/>
      <c r="L646" s="839" t="n"/>
      <c r="M646" s="839" t="n"/>
      <c r="N646" s="840" t="n"/>
    </row>
    <row r="647" ht="13.5" customHeight="1" s="614">
      <c r="A647" s="809" t="n"/>
      <c r="B647" s="839" t="n"/>
      <c r="C647" s="839" t="n"/>
      <c r="D647" s="839" t="n"/>
      <c r="E647" s="839" t="n"/>
      <c r="F647" s="839" t="n"/>
      <c r="G647" s="839" t="n"/>
      <c r="H647" s="839" t="n"/>
      <c r="I647" s="839" t="n"/>
      <c r="J647" s="839" t="n"/>
      <c r="K647" s="839" t="n"/>
      <c r="L647" s="839" t="n"/>
      <c r="M647" s="839" t="n"/>
      <c r="N647" s="840" t="n"/>
    </row>
    <row r="648" ht="13.5" customHeight="1" s="614">
      <c r="A648" s="809" t="n"/>
      <c r="B648" s="839" t="n"/>
      <c r="C648" s="839" t="n"/>
      <c r="D648" s="839" t="n"/>
      <c r="E648" s="839" t="n"/>
      <c r="F648" s="839" t="n"/>
      <c r="G648" s="839" t="n"/>
      <c r="H648" s="839" t="n"/>
      <c r="I648" s="839" t="n"/>
      <c r="J648" s="839" t="n"/>
      <c r="K648" s="839" t="n"/>
      <c r="L648" s="839" t="n"/>
      <c r="M648" s="839" t="n"/>
      <c r="N648" s="840" t="n"/>
    </row>
    <row r="649" ht="13.5" customHeight="1" s="614">
      <c r="A649" s="809" t="n"/>
      <c r="B649" s="839" t="n"/>
      <c r="C649" s="839" t="n"/>
      <c r="D649" s="839" t="n"/>
      <c r="E649" s="839" t="n"/>
      <c r="F649" s="839" t="n"/>
      <c r="G649" s="839" t="n"/>
      <c r="H649" s="839" t="n"/>
      <c r="I649" s="839" t="n"/>
      <c r="J649" s="839" t="n"/>
      <c r="K649" s="839" t="n"/>
      <c r="L649" s="839" t="n"/>
      <c r="M649" s="839" t="n"/>
      <c r="N649" s="840" t="n"/>
    </row>
    <row r="650" ht="13.5" customHeight="1" s="614">
      <c r="A650" s="809" t="n"/>
      <c r="B650" s="839" t="n"/>
      <c r="C650" s="839" t="n"/>
      <c r="D650" s="839" t="n"/>
      <c r="E650" s="839" t="n"/>
      <c r="F650" s="839" t="n"/>
      <c r="G650" s="839" t="n"/>
      <c r="H650" s="839" t="n"/>
      <c r="I650" s="839" t="n"/>
      <c r="J650" s="839" t="n"/>
      <c r="K650" s="839" t="n"/>
      <c r="L650" s="839" t="n"/>
      <c r="M650" s="839" t="n"/>
      <c r="N650" s="840" t="n"/>
    </row>
    <row r="651" ht="13.5" customHeight="1" s="614">
      <c r="A651" s="809" t="n"/>
      <c r="B651" s="839" t="n"/>
      <c r="C651" s="839" t="n"/>
      <c r="D651" s="839" t="n"/>
      <c r="E651" s="839" t="n"/>
      <c r="F651" s="839" t="n"/>
      <c r="G651" s="839" t="n"/>
      <c r="H651" s="839" t="n"/>
      <c r="I651" s="839" t="n"/>
      <c r="J651" s="839" t="n"/>
      <c r="K651" s="839" t="n"/>
      <c r="L651" s="839" t="n"/>
      <c r="M651" s="839" t="n"/>
      <c r="N651" s="840" t="n"/>
    </row>
    <row r="652" ht="13.5" customHeight="1" s="614">
      <c r="A652" s="809" t="n"/>
      <c r="B652" s="839" t="n"/>
      <c r="C652" s="839" t="n"/>
      <c r="D652" s="839" t="n"/>
      <c r="E652" s="839" t="n"/>
      <c r="F652" s="839" t="n"/>
      <c r="G652" s="839" t="n"/>
      <c r="H652" s="839" t="n"/>
      <c r="I652" s="839" t="n"/>
      <c r="J652" s="839" t="n"/>
      <c r="K652" s="839" t="n"/>
      <c r="L652" s="839" t="n"/>
      <c r="M652" s="839" t="n"/>
      <c r="N652" s="840" t="n"/>
    </row>
    <row r="653" ht="13.5" customHeight="1" s="614">
      <c r="A653" s="809" t="n"/>
      <c r="B653" s="839" t="n"/>
      <c r="C653" s="839" t="n"/>
      <c r="D653" s="839" t="n"/>
      <c r="E653" s="839" t="n"/>
      <c r="F653" s="839" t="n"/>
      <c r="G653" s="839" t="n"/>
      <c r="H653" s="839" t="n"/>
      <c r="I653" s="839" t="n"/>
      <c r="J653" s="839" t="n"/>
      <c r="K653" s="839" t="n"/>
      <c r="L653" s="839" t="n"/>
      <c r="M653" s="839" t="n"/>
      <c r="N653" s="840" t="n"/>
    </row>
    <row r="654" ht="13.5" customHeight="1" s="614">
      <c r="A654" s="809" t="n"/>
      <c r="B654" s="839" t="n"/>
      <c r="C654" s="839" t="n"/>
      <c r="D654" s="839" t="n"/>
      <c r="E654" s="839" t="n"/>
      <c r="F654" s="839" t="n"/>
      <c r="G654" s="839" t="n"/>
      <c r="H654" s="839" t="n"/>
      <c r="I654" s="839" t="n"/>
      <c r="J654" s="839" t="n"/>
      <c r="K654" s="839" t="n"/>
      <c r="L654" s="839" t="n"/>
      <c r="M654" s="839" t="n"/>
      <c r="N654" s="840" t="n"/>
    </row>
    <row r="655" ht="13.5" customHeight="1" s="614">
      <c r="A655" s="809" t="n"/>
      <c r="B655" s="839" t="n"/>
      <c r="C655" s="839" t="n"/>
      <c r="D655" s="839" t="n"/>
      <c r="E655" s="839" t="n"/>
      <c r="F655" s="839" t="n"/>
      <c r="G655" s="839" t="n"/>
      <c r="H655" s="839" t="n"/>
      <c r="I655" s="839" t="n"/>
      <c r="J655" s="839" t="n"/>
      <c r="K655" s="839" t="n"/>
      <c r="L655" s="839" t="n"/>
      <c r="M655" s="839" t="n"/>
      <c r="N655" s="840" t="n"/>
    </row>
    <row r="656" ht="13.5" customHeight="1" s="614">
      <c r="A656" s="809" t="n"/>
      <c r="B656" s="839" t="n"/>
      <c r="C656" s="839" t="n"/>
      <c r="D656" s="839" t="n"/>
      <c r="E656" s="839" t="n"/>
      <c r="F656" s="839" t="n"/>
      <c r="G656" s="839" t="n"/>
      <c r="H656" s="839" t="n"/>
      <c r="I656" s="839" t="n"/>
      <c r="J656" s="839" t="n"/>
      <c r="K656" s="839" t="n"/>
      <c r="L656" s="839" t="n"/>
      <c r="M656" s="839" t="n"/>
      <c r="N656" s="840" t="n"/>
    </row>
    <row r="657" ht="13.5" customHeight="1" s="614">
      <c r="A657" s="809" t="n"/>
      <c r="B657" s="839" t="n"/>
      <c r="C657" s="839" t="n"/>
      <c r="D657" s="839" t="n"/>
      <c r="E657" s="839" t="n"/>
      <c r="F657" s="839" t="n"/>
      <c r="G657" s="839" t="n"/>
      <c r="H657" s="839" t="n"/>
      <c r="I657" s="839" t="n"/>
      <c r="J657" s="839" t="n"/>
      <c r="K657" s="839" t="n"/>
      <c r="L657" s="839" t="n"/>
      <c r="M657" s="839" t="n"/>
      <c r="N657" s="840" t="n"/>
    </row>
    <row r="658" ht="13.5" customHeight="1" s="614">
      <c r="A658" s="809" t="n"/>
      <c r="B658" s="839" t="n"/>
      <c r="C658" s="839" t="n"/>
      <c r="D658" s="839" t="n"/>
      <c r="E658" s="839" t="n"/>
      <c r="F658" s="839" t="n"/>
      <c r="G658" s="839" t="n"/>
      <c r="H658" s="839" t="n"/>
      <c r="I658" s="839" t="n"/>
      <c r="J658" s="839" t="n"/>
      <c r="K658" s="839" t="n"/>
      <c r="L658" s="839" t="n"/>
      <c r="M658" s="839" t="n"/>
      <c r="N658" s="840" t="n"/>
    </row>
    <row r="659" ht="13.5" customHeight="1" s="614">
      <c r="A659" s="785" t="n"/>
      <c r="B659" s="819" t="n"/>
      <c r="C659" s="819" t="n"/>
      <c r="D659" s="819" t="n"/>
      <c r="E659" s="819" t="n"/>
      <c r="F659" s="819" t="n"/>
      <c r="G659" s="819" t="n"/>
      <c r="H659" s="819" t="n"/>
      <c r="I659" s="819" t="n"/>
      <c r="J659" s="819" t="n"/>
      <c r="K659" s="819" t="n"/>
      <c r="L659" s="819" t="n"/>
      <c r="M659" s="819" t="n"/>
      <c r="N659" s="841" t="n"/>
    </row>
    <row r="660" ht="13.5" customHeight="1" s="614">
      <c r="A660" s="820" t="inlineStr">
        <is>
          <t xml:space="preserve">　○：良　　△：要注意　　×：要修理</t>
        </is>
      </c>
    </row>
  </sheetData>
  <mergeCells count="3297">
    <mergeCell ref="E376:F376"/>
    <mergeCell ref="B165:B166"/>
    <mergeCell ref="E71:F71"/>
    <mergeCell ref="I536:J536"/>
    <mergeCell ref="K241:L241"/>
    <mergeCell ref="E79:F79"/>
    <mergeCell ref="E73:F73"/>
    <mergeCell ref="K302:L302"/>
    <mergeCell ref="M60:N60"/>
    <mergeCell ref="M35:N35"/>
    <mergeCell ref="E371:F371"/>
    <mergeCell ref="M358:N358"/>
    <mergeCell ref="K600:L600"/>
    <mergeCell ref="A99:A100"/>
    <mergeCell ref="G137:H137"/>
    <mergeCell ref="M366:N366"/>
    <mergeCell ref="A213:A214"/>
    <mergeCell ref="M360:N360"/>
    <mergeCell ref="B202:B204"/>
    <mergeCell ref="A154:A159"/>
    <mergeCell ref="G139:H139"/>
    <mergeCell ref="A228:A230"/>
    <mergeCell ref="G489:H489"/>
    <mergeCell ref="B64:B65"/>
    <mergeCell ref="M361:N361"/>
    <mergeCell ref="K328:L328"/>
    <mergeCell ref="G168:H168"/>
    <mergeCell ref="G491:H491"/>
    <mergeCell ref="B347:B349"/>
    <mergeCell ref="K626:L626"/>
    <mergeCell ref="K172:L172"/>
    <mergeCell ref="E547:F547"/>
    <mergeCell ref="M50:N50"/>
    <mergeCell ref="K628:L628"/>
    <mergeCell ref="I555:J555"/>
    <mergeCell ref="E3:F3"/>
    <mergeCell ref="G59:H59"/>
    <mergeCell ref="B509:B510"/>
    <mergeCell ref="E5:F5"/>
    <mergeCell ref="M229:N229"/>
    <mergeCell ref="I580:J580"/>
    <mergeCell ref="E303:F303"/>
    <mergeCell ref="G61:H61"/>
    <mergeCell ref="G359:H359"/>
    <mergeCell ref="G219:H219"/>
    <mergeCell ref="E417:F417"/>
    <mergeCell ref="I582:J582"/>
    <mergeCell ref="I283:J283"/>
    <mergeCell ref="K41:L41"/>
    <mergeCell ref="I581:J581"/>
    <mergeCell ref="K610:L610"/>
    <mergeCell ref="G62:H62"/>
    <mergeCell ref="K470:L470"/>
    <mergeCell ref="I285:J285"/>
    <mergeCell ref="K43:L43"/>
    <mergeCell ref="M105:N105"/>
    <mergeCell ref="I583:J583"/>
    <mergeCell ref="K341:L341"/>
    <mergeCell ref="I577:J577"/>
    <mergeCell ref="K639:L639"/>
    <mergeCell ref="M534:N534"/>
    <mergeCell ref="M316:N316"/>
    <mergeCell ref="K552:L552"/>
    <mergeCell ref="B266:B267"/>
    <mergeCell ref="E443:F443"/>
    <mergeCell ref="G201:H201"/>
    <mergeCell ref="M101:N101"/>
    <mergeCell ref="M405:N405"/>
    <mergeCell ref="K641:L641"/>
    <mergeCell ref="E473:F473"/>
    <mergeCell ref="B477:B478"/>
    <mergeCell ref="G535:H535"/>
    <mergeCell ref="E16:F16"/>
    <mergeCell ref="M616:N616"/>
    <mergeCell ref="E174:F174"/>
    <mergeCell ref="G203:H203"/>
    <mergeCell ref="E472:F472"/>
    <mergeCell ref="G230:H230"/>
    <mergeCell ref="G361:H361"/>
    <mergeCell ref="G537:H537"/>
    <mergeCell ref="I295:J295"/>
    <mergeCell ref="E18:F18"/>
    <mergeCell ref="G238:H238"/>
    <mergeCell ref="I267:J267"/>
    <mergeCell ref="K25:L25"/>
    <mergeCell ref="G232:H232"/>
    <mergeCell ref="E474:F474"/>
    <mergeCell ref="A58:A65"/>
    <mergeCell ref="G530:H530"/>
    <mergeCell ref="K183:L183"/>
    <mergeCell ref="I207:J207"/>
    <mergeCell ref="I636:J636"/>
    <mergeCell ref="I296:J296"/>
    <mergeCell ref="K54:L54"/>
    <mergeCell ref="G532:H532"/>
    <mergeCell ref="B167:B168"/>
    <mergeCell ref="B589:B591"/>
    <mergeCell ref="K244:L244"/>
    <mergeCell ref="M2:N2"/>
    <mergeCell ref="K271:L271"/>
    <mergeCell ref="K542:L542"/>
    <mergeCell ref="I507:J507"/>
    <mergeCell ref="C100:D100"/>
    <mergeCell ref="C94:D94"/>
    <mergeCell ref="M458:N458"/>
    <mergeCell ref="I298:J298"/>
    <mergeCell ref="B415:B417"/>
    <mergeCell ref="I596:J596"/>
    <mergeCell ref="K237:L237"/>
    <mergeCell ref="G563:H563"/>
    <mergeCell ref="E69:F69"/>
    <mergeCell ref="K273:L273"/>
    <mergeCell ref="M31:N31"/>
    <mergeCell ref="K571:L571"/>
    <mergeCell ref="B619:B620"/>
    <mergeCell ref="E158:F158"/>
    <mergeCell ref="B286:B288"/>
    <mergeCell ref="E77:F77"/>
    <mergeCell ref="K239:L239"/>
    <mergeCell ref="E492:F492"/>
    <mergeCell ref="G590:H590"/>
    <mergeCell ref="E369:F369"/>
    <mergeCell ref="B33:B34"/>
    <mergeCell ref="E485:F485"/>
    <mergeCell ref="K268:L268"/>
    <mergeCell ref="M26:N26"/>
    <mergeCell ref="G135:H135"/>
    <mergeCell ref="G433:H433"/>
    <mergeCell ref="I191:J191"/>
    <mergeCell ref="A509:A510"/>
    <mergeCell ref="I51:J51"/>
    <mergeCell ref="G591:H591"/>
    <mergeCell ref="I349:J349"/>
    <mergeCell ref="E72:F72"/>
    <mergeCell ref="B635:B636"/>
    <mergeCell ref="G164:H164"/>
    <mergeCell ref="G217:H217"/>
    <mergeCell ref="A511:A512"/>
    <mergeCell ref="K413:L413"/>
    <mergeCell ref="M171:N171"/>
    <mergeCell ref="I192:J192"/>
    <mergeCell ref="E543:F543"/>
    <mergeCell ref="I222:J222"/>
    <mergeCell ref="K415:L415"/>
    <mergeCell ref="M173:N173"/>
    <mergeCell ref="M471:N471"/>
    <mergeCell ref="E545:F545"/>
    <mergeCell ref="E88:F88"/>
    <mergeCell ref="A237:A238"/>
    <mergeCell ref="E82:F82"/>
    <mergeCell ref="K110:L110"/>
    <mergeCell ref="K286:L286"/>
    <mergeCell ref="E240:F240"/>
    <mergeCell ref="E538:F538"/>
    <mergeCell ref="B175:B176"/>
    <mergeCell ref="M473:N473"/>
    <mergeCell ref="B218:B220"/>
    <mergeCell ref="G190:H190"/>
    <mergeCell ref="A239:A240"/>
    <mergeCell ref="G603:H603"/>
    <mergeCell ref="G146:H146"/>
    <mergeCell ref="M174:N174"/>
    <mergeCell ref="K410:L410"/>
    <mergeCell ref="G6:H6"/>
    <mergeCell ref="E546:F546"/>
    <mergeCell ref="G304:H304"/>
    <mergeCell ref="E540:F540"/>
    <mergeCell ref="G602:H602"/>
    <mergeCell ref="K12:L12"/>
    <mergeCell ref="G490:H490"/>
    <mergeCell ref="I248:J248"/>
    <mergeCell ref="A109:A110"/>
    <mergeCell ref="I368:J368"/>
    <mergeCell ref="G604:H604"/>
    <mergeCell ref="M497:N497"/>
    <mergeCell ref="K39:L39"/>
    <mergeCell ref="K14:L14"/>
    <mergeCell ref="I579:J579"/>
    <mergeCell ref="K337:L337"/>
    <mergeCell ref="B58:B60"/>
    <mergeCell ref="K312:L312"/>
    <mergeCell ref="I573:J573"/>
    <mergeCell ref="K635:L635"/>
    <mergeCell ref="B237:B238"/>
    <mergeCell ref="M103:N103"/>
    <mergeCell ref="K339:L339"/>
    <mergeCell ref="K314:L314"/>
    <mergeCell ref="M401:N401"/>
    <mergeCell ref="K637:L637"/>
    <mergeCell ref="E109:F109"/>
    <mergeCell ref="M96:N96"/>
    <mergeCell ref="B53:B55"/>
    <mergeCell ref="E145:F145"/>
    <mergeCell ref="E139:F139"/>
    <mergeCell ref="M403:N403"/>
    <mergeCell ref="B360:B362"/>
    <mergeCell ref="E111:F111"/>
    <mergeCell ref="M98:N98"/>
    <mergeCell ref="E470:F470"/>
    <mergeCell ref="G228:H228"/>
    <mergeCell ref="B101:B102"/>
    <mergeCell ref="M398:N398"/>
    <mergeCell ref="I292:J292"/>
    <mergeCell ref="K50:L50"/>
    <mergeCell ref="K181:L181"/>
    <mergeCell ref="K479:L479"/>
    <mergeCell ref="E584:F584"/>
    <mergeCell ref="K58:L58"/>
    <mergeCell ref="I294:J294"/>
    <mergeCell ref="K52:L52"/>
    <mergeCell ref="M423:N423"/>
    <mergeCell ref="K350:L350"/>
    <mergeCell ref="I592:J592"/>
    <mergeCell ref="K481:L481"/>
    <mergeCell ref="M543:N543"/>
    <mergeCell ref="G231:H231"/>
    <mergeCell ref="B275:B276"/>
    <mergeCell ref="M431:N431"/>
    <mergeCell ref="M116:N116"/>
    <mergeCell ref="M238:N238"/>
    <mergeCell ref="K352:L352"/>
    <mergeCell ref="M414:N414"/>
    <mergeCell ref="M545:N545"/>
    <mergeCell ref="K53:L53"/>
    <mergeCell ref="M424:N424"/>
    <mergeCell ref="I20:J20"/>
    <mergeCell ref="E498:F498"/>
    <mergeCell ref="E183:F183"/>
    <mergeCell ref="I318:J318"/>
    <mergeCell ref="G554:H554"/>
    <mergeCell ref="A609:A610"/>
    <mergeCell ref="M416:N416"/>
    <mergeCell ref="E612:F612"/>
    <mergeCell ref="E193:F193"/>
    <mergeCell ref="B283:B285"/>
    <mergeCell ref="I13:J13"/>
    <mergeCell ref="A544:A549"/>
    <mergeCell ref="I320:J320"/>
    <mergeCell ref="K78:L78"/>
    <mergeCell ref="G247:H247"/>
    <mergeCell ref="E483:F483"/>
    <mergeCell ref="K376:L376"/>
    <mergeCell ref="I618:J618"/>
    <mergeCell ref="K507:L507"/>
    <mergeCell ref="I15:J15"/>
    <mergeCell ref="K80:L80"/>
    <mergeCell ref="M142:N142"/>
    <mergeCell ref="I620:J620"/>
    <mergeCell ref="K378:L378"/>
    <mergeCell ref="G272:H272"/>
    <mergeCell ref="M571:N571"/>
    <mergeCell ref="K79:L79"/>
    <mergeCell ref="E209:F209"/>
    <mergeCell ref="M144:N144"/>
    <mergeCell ref="M442:N442"/>
    <mergeCell ref="E638:F638"/>
    <mergeCell ref="K379:L379"/>
    <mergeCell ref="M137:N137"/>
    <mergeCell ref="E211:F211"/>
    <mergeCell ref="B301:B303"/>
    <mergeCell ref="E509:F509"/>
    <mergeCell ref="I162:J162"/>
    <mergeCell ref="E640:F640"/>
    <mergeCell ref="G398:H398"/>
    <mergeCell ref="I460:J460"/>
    <mergeCell ref="A235:A236"/>
    <mergeCell ref="K406:L406"/>
    <mergeCell ref="M164:N164"/>
    <mergeCell ref="M139:N139"/>
    <mergeCell ref="I373:J373"/>
    <mergeCell ref="G275:H275"/>
    <mergeCell ref="I33:J33"/>
    <mergeCell ref="E511:F511"/>
    <mergeCell ref="G269:H269"/>
    <mergeCell ref="M41:N41"/>
    <mergeCell ref="K220:L220"/>
    <mergeCell ref="I244:J244"/>
    <mergeCell ref="G302:H302"/>
    <mergeCell ref="K437:L437"/>
    <mergeCell ref="I35:J35"/>
    <mergeCell ref="Q599:R599"/>
    <mergeCell ref="A360:A362"/>
    <mergeCell ref="I333:J333"/>
    <mergeCell ref="M493:N493"/>
    <mergeCell ref="K222:L222"/>
    <mergeCell ref="M284:N284"/>
    <mergeCell ref="K10:L10"/>
    <mergeCell ref="I544:J544"/>
    <mergeCell ref="A107:A108"/>
    <mergeCell ref="M197:N197"/>
    <mergeCell ref="M495:N495"/>
    <mergeCell ref="K3:L3"/>
    <mergeCell ref="B233:B234"/>
    <mergeCell ref="E351:F351"/>
    <mergeCell ref="M584:N584"/>
    <mergeCell ref="K310:L310"/>
    <mergeCell ref="M68:N68"/>
    <mergeCell ref="K432:L432"/>
    <mergeCell ref="K608:L608"/>
    <mergeCell ref="M188:N188"/>
    <mergeCell ref="C464:D464"/>
    <mergeCell ref="K424:L424"/>
    <mergeCell ref="K5:L5"/>
    <mergeCell ref="B235:B236"/>
    <mergeCell ref="E141:F141"/>
    <mergeCell ref="E135:F135"/>
    <mergeCell ref="E439:F439"/>
    <mergeCell ref="A309:A313"/>
    <mergeCell ref="I361:J361"/>
    <mergeCell ref="M496:N496"/>
    <mergeCell ref="G328:H328"/>
    <mergeCell ref="G626:H626"/>
    <mergeCell ref="E224:F224"/>
    <mergeCell ref="E107:F107"/>
    <mergeCell ref="A446:A453"/>
    <mergeCell ref="M69:N69"/>
    <mergeCell ref="E143:F143"/>
    <mergeCell ref="G172:H172"/>
    <mergeCell ref="E441:F441"/>
    <mergeCell ref="E435:F435"/>
    <mergeCell ref="K150:L150"/>
    <mergeCell ref="G628:H628"/>
    <mergeCell ref="G288:H288"/>
    <mergeCell ref="T471:U471"/>
    <mergeCell ref="A247:A248"/>
    <mergeCell ref="G323:H323"/>
    <mergeCell ref="G499:H499"/>
    <mergeCell ref="A198:N198"/>
    <mergeCell ref="K450:L450"/>
    <mergeCell ref="M208:N208"/>
    <mergeCell ref="I229:J229"/>
    <mergeCell ref="E580:F580"/>
    <mergeCell ref="K23:L23"/>
    <mergeCell ref="K145:L145"/>
    <mergeCell ref="B375:B376"/>
    <mergeCell ref="K452:L452"/>
    <mergeCell ref="M210:N210"/>
    <mergeCell ref="A177:A181"/>
    <mergeCell ref="E582:F582"/>
    <mergeCell ref="K147:L147"/>
    <mergeCell ref="M209:N209"/>
    <mergeCell ref="E283:F283"/>
    <mergeCell ref="G41:H41"/>
    <mergeCell ref="E277:F277"/>
    <mergeCell ref="E581:F581"/>
    <mergeCell ref="E575:F575"/>
    <mergeCell ref="K18:L18"/>
    <mergeCell ref="B37:B39"/>
    <mergeCell ref="M211:N211"/>
    <mergeCell ref="A466:A473"/>
    <mergeCell ref="E285:F285"/>
    <mergeCell ref="G43:H43"/>
    <mergeCell ref="I105:J105"/>
    <mergeCell ref="M509:N509"/>
    <mergeCell ref="G341:H341"/>
    <mergeCell ref="E583:F583"/>
    <mergeCell ref="E577:F577"/>
    <mergeCell ref="G639:H639"/>
    <mergeCell ref="E278:F278"/>
    <mergeCell ref="G36:H36"/>
    <mergeCell ref="M536:N536"/>
    <mergeCell ref="K503:L503"/>
    <mergeCell ref="I101:J101"/>
    <mergeCell ref="K163:L163"/>
    <mergeCell ref="M236:N236"/>
    <mergeCell ref="I405:J405"/>
    <mergeCell ref="G641:H641"/>
    <mergeCell ref="B243:B244"/>
    <mergeCell ref="K380:L380"/>
    <mergeCell ref="I100:J100"/>
    <mergeCell ref="I616:J616"/>
    <mergeCell ref="C230:D230"/>
    <mergeCell ref="M567:N567"/>
    <mergeCell ref="K165:L165"/>
    <mergeCell ref="E295:F295"/>
    <mergeCell ref="B299:B300"/>
    <mergeCell ref="M140:N140"/>
    <mergeCell ref="I102:J102"/>
    <mergeCell ref="M438:N438"/>
    <mergeCell ref="I400:J400"/>
    <mergeCell ref="C232:D232"/>
    <mergeCell ref="E603:F603"/>
    <mergeCell ref="C530:D530"/>
    <mergeCell ref="K77:L77"/>
    <mergeCell ref="B553:B555"/>
    <mergeCell ref="K375:L375"/>
    <mergeCell ref="B96:B98"/>
    <mergeCell ref="E207:F207"/>
    <mergeCell ref="E505:F505"/>
    <mergeCell ref="M440:N440"/>
    <mergeCell ref="M562:N562"/>
    <mergeCell ref="E636:F636"/>
    <mergeCell ref="E296:F296"/>
    <mergeCell ref="M598:N598"/>
    <mergeCell ref="I247:J247"/>
    <mergeCell ref="M135:N135"/>
    <mergeCell ref="G271:H271"/>
    <mergeCell ref="I29:J29"/>
    <mergeCell ref="I4:J4"/>
    <mergeCell ref="E507:F507"/>
    <mergeCell ref="I458:J458"/>
    <mergeCell ref="G273:H273"/>
    <mergeCell ref="I31:J31"/>
    <mergeCell ref="M435:N435"/>
    <mergeCell ref="G571:H571"/>
    <mergeCell ref="I329:J329"/>
    <mergeCell ref="K87:L87"/>
    <mergeCell ref="G565:H565"/>
    <mergeCell ref="I627:J627"/>
    <mergeCell ref="K218:L218"/>
    <mergeCell ref="M280:N280"/>
    <mergeCell ref="K95:L95"/>
    <mergeCell ref="I453:J453"/>
    <mergeCell ref="K89:L89"/>
    <mergeCell ref="I629:J629"/>
    <mergeCell ref="E347:F347"/>
    <mergeCell ref="M580:N580"/>
    <mergeCell ref="K545:L545"/>
    <mergeCell ref="G268:H268"/>
    <mergeCell ref="I26:J26"/>
    <mergeCell ref="K88:L88"/>
    <mergeCell ref="K219:L219"/>
    <mergeCell ref="E51:F51"/>
    <mergeCell ref="M153:N153"/>
    <mergeCell ref="M275:N275"/>
    <mergeCell ref="E349:F349"/>
    <mergeCell ref="M311:N311"/>
    <mergeCell ref="M582:N582"/>
    <mergeCell ref="K90:L90"/>
    <mergeCell ref="A375:A376"/>
    <mergeCell ref="E220:F220"/>
    <mergeCell ref="M277:N277"/>
    <mergeCell ref="K546:L546"/>
    <mergeCell ref="G413:H413"/>
    <mergeCell ref="I171:J171"/>
    <mergeCell ref="B22:B24"/>
    <mergeCell ref="G407:H407"/>
    <mergeCell ref="M611:N611"/>
    <mergeCell ref="A377:A378"/>
    <mergeCell ref="E222:F222"/>
    <mergeCell ref="K115:L115"/>
    <mergeCell ref="I42:J42"/>
    <mergeCell ref="G284:H284"/>
    <mergeCell ref="T442:U442"/>
    <mergeCell ref="G415:H415"/>
    <mergeCell ref="I173:J173"/>
    <mergeCell ref="T467:U467"/>
    <mergeCell ref="K544:L544"/>
    <mergeCell ref="I471:J471"/>
    <mergeCell ref="M577:N577"/>
    <mergeCell ref="I52:J52"/>
    <mergeCell ref="A533:A540"/>
    <mergeCell ref="G110:H110"/>
    <mergeCell ref="G408:H408"/>
    <mergeCell ref="I44:J44"/>
    <mergeCell ref="I166:J166"/>
    <mergeCell ref="M179:N179"/>
    <mergeCell ref="E375:F375"/>
    <mergeCell ref="T469:U469"/>
    <mergeCell ref="I473:J473"/>
    <mergeCell ref="K535:L535"/>
    <mergeCell ref="M608:N608"/>
    <mergeCell ref="K141:L141"/>
    <mergeCell ref="K116:L116"/>
    <mergeCell ref="B340:B341"/>
    <mergeCell ref="E246:F246"/>
    <mergeCell ref="G410:H410"/>
    <mergeCell ref="K230:L230"/>
    <mergeCell ref="E377:F377"/>
    <mergeCell ref="G439:H439"/>
    <mergeCell ref="B460:B461"/>
    <mergeCell ref="B35:B36"/>
    <mergeCell ref="K143:L143"/>
    <mergeCell ref="K416:L416"/>
    <mergeCell ref="G12:H12"/>
    <mergeCell ref="C490:D490"/>
    <mergeCell ref="E248:F248"/>
    <mergeCell ref="B469:B471"/>
    <mergeCell ref="G441:H441"/>
    <mergeCell ref="E368:F368"/>
    <mergeCell ref="K530:L530"/>
    <mergeCell ref="G435:H435"/>
    <mergeCell ref="I497:J497"/>
    <mergeCell ref="E247:F247"/>
    <mergeCell ref="M207:N207"/>
    <mergeCell ref="M505:N505"/>
    <mergeCell ref="G312:H312"/>
    <mergeCell ref="I70:J70"/>
    <mergeCell ref="G610:H610"/>
    <mergeCell ref="I499:J499"/>
    <mergeCell ref="G7:H7"/>
    <mergeCell ref="A96:A98"/>
    <mergeCell ref="B193:B195"/>
    <mergeCell ref="K134:L134"/>
    <mergeCell ref="B239:B240"/>
    <mergeCell ref="K563:L563"/>
    <mergeCell ref="I96:J96"/>
    <mergeCell ref="C201:D201"/>
    <mergeCell ref="C332:D332"/>
    <mergeCell ref="E90:F90"/>
    <mergeCell ref="K617:L617"/>
    <mergeCell ref="I98:J98"/>
    <mergeCell ref="G65:H65"/>
    <mergeCell ref="B441:B445"/>
    <mergeCell ref="B182:B184"/>
    <mergeCell ref="G154:H154"/>
    <mergeCell ref="C632:D632"/>
    <mergeCell ref="B61:B63"/>
    <mergeCell ref="E172:F172"/>
    <mergeCell ref="I398:J398"/>
    <mergeCell ref="K156:L156"/>
    <mergeCell ref="G365:H365"/>
    <mergeCell ref="G25:H25"/>
    <mergeCell ref="G454:H454"/>
    <mergeCell ref="B81:B82"/>
    <mergeCell ref="G60:H60"/>
    <mergeCell ref="E302:F302"/>
    <mergeCell ref="G236:H236"/>
    <mergeCell ref="M220:N220"/>
    <mergeCell ref="E294:F294"/>
    <mergeCell ref="K187:L187"/>
    <mergeCell ref="I423:J423"/>
    <mergeCell ref="K485:L485"/>
    <mergeCell ref="E592:F592"/>
    <mergeCell ref="K643:L643"/>
    <mergeCell ref="P273:S274"/>
    <mergeCell ref="I2:J2"/>
    <mergeCell ref="I422:J422"/>
    <mergeCell ref="K189:L189"/>
    <mergeCell ref="I116:J116"/>
    <mergeCell ref="K487:L487"/>
    <mergeCell ref="I414:J414"/>
    <mergeCell ref="P537:S538"/>
    <mergeCell ref="B105:B106"/>
    <mergeCell ref="K188:L188"/>
    <mergeCell ref="I424:J424"/>
    <mergeCell ref="E20:F20"/>
    <mergeCell ref="K182:L182"/>
    <mergeCell ref="E318:F318"/>
    <mergeCell ref="M551:N551"/>
    <mergeCell ref="B107:B108"/>
    <mergeCell ref="E13:F13"/>
    <mergeCell ref="M246:N246"/>
    <mergeCell ref="E320:F320"/>
    <mergeCell ref="G78:H78"/>
    <mergeCell ref="E618:F618"/>
    <mergeCell ref="G376:H376"/>
    <mergeCell ref="G534:H534"/>
    <mergeCell ref="E15:F15"/>
    <mergeCell ref="B407:B408"/>
    <mergeCell ref="E191:F191"/>
    <mergeCell ref="M273:N273"/>
    <mergeCell ref="M248:N248"/>
    <mergeCell ref="G80:H80"/>
    <mergeCell ref="I142:J142"/>
    <mergeCell ref="E620:F620"/>
    <mergeCell ref="G378:H378"/>
    <mergeCell ref="G536:H536"/>
    <mergeCell ref="G79:H79"/>
    <mergeCell ref="A373:A374"/>
    <mergeCell ref="E315:F315"/>
    <mergeCell ref="G73:H73"/>
    <mergeCell ref="M302:N302"/>
    <mergeCell ref="M573:N573"/>
    <mergeCell ref="I442:J442"/>
    <mergeCell ref="K358:L358"/>
    <mergeCell ref="I137:J137"/>
    <mergeCell ref="C267:D267"/>
    <mergeCell ref="M631:N631"/>
    <mergeCell ref="G406:H406"/>
    <mergeCell ref="I164:J164"/>
    <mergeCell ref="I139:J139"/>
    <mergeCell ref="K201:L201"/>
    <mergeCell ref="K226:L226"/>
    <mergeCell ref="M299:N299"/>
    <mergeCell ref="E33:F33"/>
    <mergeCell ref="M633:N633"/>
    <mergeCell ref="K114:L114"/>
    <mergeCell ref="G8:H8"/>
    <mergeCell ref="M170:N170"/>
    <mergeCell ref="A462:N462"/>
    <mergeCell ref="K228:L228"/>
    <mergeCell ref="M328:N328"/>
    <mergeCell ref="G437:H437"/>
    <mergeCell ref="I195:J195"/>
    <mergeCell ref="E35:F35"/>
    <mergeCell ref="I493:J493"/>
    <mergeCell ref="E333:F333"/>
    <mergeCell ref="G10:H10"/>
    <mergeCell ref="M172:N172"/>
    <mergeCell ref="G547:H547"/>
    <mergeCell ref="G308:H308"/>
    <mergeCell ref="E28:F28"/>
    <mergeCell ref="A441:A445"/>
    <mergeCell ref="I495:J495"/>
    <mergeCell ref="E245:F245"/>
    <mergeCell ref="G3:H3"/>
    <mergeCell ref="G310:H310"/>
    <mergeCell ref="I68:J68"/>
    <mergeCell ref="E30:F30"/>
    <mergeCell ref="G92:H92"/>
    <mergeCell ref="I190:J190"/>
    <mergeCell ref="G608:H608"/>
    <mergeCell ref="M46:N46"/>
    <mergeCell ref="M317:N317"/>
    <mergeCell ref="K559:L559"/>
    <mergeCell ref="G5:H5"/>
    <mergeCell ref="A586:A593"/>
    <mergeCell ref="A81:A82"/>
    <mergeCell ref="I496:J496"/>
    <mergeCell ref="I219:J219"/>
    <mergeCell ref="K430:L430"/>
    <mergeCell ref="C626:D626"/>
    <mergeCell ref="K588:L588"/>
    <mergeCell ref="A22:A27"/>
    <mergeCell ref="M346:N346"/>
    <mergeCell ref="K582:L582"/>
    <mergeCell ref="B601:B603"/>
    <mergeCell ref="B355:B356"/>
    <mergeCell ref="M14:N14"/>
    <mergeCell ref="K283:L283"/>
    <mergeCell ref="M318:N318"/>
    <mergeCell ref="G150:H150"/>
    <mergeCell ref="M312:N312"/>
    <mergeCell ref="B507:B508"/>
    <mergeCell ref="K554:L554"/>
    <mergeCell ref="C628:D628"/>
    <mergeCell ref="K590:L590"/>
    <mergeCell ref="M348:N348"/>
    <mergeCell ref="G478:H478"/>
    <mergeCell ref="G21:H21"/>
    <mergeCell ref="C499:D499"/>
    <mergeCell ref="K285:L285"/>
    <mergeCell ref="M43:N43"/>
    <mergeCell ref="M314:N314"/>
    <mergeCell ref="M347:N347"/>
    <mergeCell ref="K583:L583"/>
    <mergeCell ref="G450:H450"/>
    <mergeCell ref="I208:J208"/>
    <mergeCell ref="A210:A212"/>
    <mergeCell ref="E415:F415"/>
    <mergeCell ref="I366:J366"/>
    <mergeCell ref="Q468:R468"/>
    <mergeCell ref="G23:H23"/>
    <mergeCell ref="A105:A106"/>
    <mergeCell ref="G145:H145"/>
    <mergeCell ref="G181:H181"/>
    <mergeCell ref="G452:H452"/>
    <mergeCell ref="I210:J210"/>
    <mergeCell ref="K272:L272"/>
    <mergeCell ref="I237:J237"/>
    <mergeCell ref="G479:H479"/>
    <mergeCell ref="A541:A543"/>
    <mergeCell ref="G147:H147"/>
    <mergeCell ref="I209:J209"/>
    <mergeCell ref="G174:H174"/>
    <mergeCell ref="G445:H445"/>
    <mergeCell ref="I203:J203"/>
    <mergeCell ref="G481:H481"/>
    <mergeCell ref="I239:J239"/>
    <mergeCell ref="K301:L301"/>
    <mergeCell ref="M374:N374"/>
    <mergeCell ref="I537:J537"/>
    <mergeCell ref="I420:J420"/>
    <mergeCell ref="K178:L178"/>
    <mergeCell ref="G18:H18"/>
    <mergeCell ref="M488:N488"/>
    <mergeCell ref="I456:J456"/>
    <mergeCell ref="I238:J238"/>
    <mergeCell ref="E105:F105"/>
    <mergeCell ref="M25:N25"/>
    <mergeCell ref="K267:L267"/>
    <mergeCell ref="E99:F99"/>
    <mergeCell ref="B103:B104"/>
    <mergeCell ref="B497:B498"/>
    <mergeCell ref="K303:L303"/>
    <mergeCell ref="K186:L186"/>
    <mergeCell ref="K601:L601"/>
    <mergeCell ref="B322:B324"/>
    <mergeCell ref="M242:N242"/>
    <mergeCell ref="M33:N33"/>
    <mergeCell ref="K636:L636"/>
    <mergeCell ref="K269:L269"/>
    <mergeCell ref="K296:L296"/>
    <mergeCell ref="E101:F101"/>
    <mergeCell ref="G163:H163"/>
    <mergeCell ref="I236:J236"/>
    <mergeCell ref="E405:F405"/>
    <mergeCell ref="B533:B535"/>
    <mergeCell ref="B70:B72"/>
    <mergeCell ref="M244:N244"/>
    <mergeCell ref="M542:N542"/>
    <mergeCell ref="E100:F100"/>
    <mergeCell ref="B228:B230"/>
    <mergeCell ref="M62:N62"/>
    <mergeCell ref="E136:F136"/>
    <mergeCell ref="G165:H165"/>
    <mergeCell ref="E434:F434"/>
    <mergeCell ref="G44:H44"/>
    <mergeCell ref="M544:N544"/>
    <mergeCell ref="E102:F102"/>
    <mergeCell ref="C69:D69"/>
    <mergeCell ref="G158:H158"/>
    <mergeCell ref="E400:F400"/>
    <mergeCell ref="C367:D367"/>
    <mergeCell ref="K354:L354"/>
    <mergeCell ref="G77:H77"/>
    <mergeCell ref="G375:H375"/>
    <mergeCell ref="I108:J108"/>
    <mergeCell ref="I598:J598"/>
    <mergeCell ref="K356:L356"/>
    <mergeCell ref="M418:N418"/>
    <mergeCell ref="I135:J135"/>
    <mergeCell ref="E4:F4"/>
    <mergeCell ref="K51:L51"/>
    <mergeCell ref="I591:J591"/>
    <mergeCell ref="K349:L349"/>
    <mergeCell ref="B586:B588"/>
    <mergeCell ref="E433:F433"/>
    <mergeCell ref="G191:H191"/>
    <mergeCell ref="I435:J435"/>
    <mergeCell ref="M413:N413"/>
    <mergeCell ref="I608:J608"/>
    <mergeCell ref="M415:N415"/>
    <mergeCell ref="I624:J624"/>
    <mergeCell ref="I309:J309"/>
    <mergeCell ref="G545:H545"/>
    <mergeCell ref="E26:F26"/>
    <mergeCell ref="G88:H88"/>
    <mergeCell ref="B272:B274"/>
    <mergeCell ref="I311:J311"/>
    <mergeCell ref="I609:J609"/>
    <mergeCell ref="A611:A613"/>
    <mergeCell ref="G90:H90"/>
    <mergeCell ref="M560:N560"/>
    <mergeCell ref="B134:B135"/>
    <mergeCell ref="G546:H546"/>
    <mergeCell ref="I611:J611"/>
    <mergeCell ref="E50:F50"/>
    <mergeCell ref="E357:F357"/>
    <mergeCell ref="G115:H115"/>
    <mergeCell ref="K368:L368"/>
    <mergeCell ref="E52:F52"/>
    <mergeCell ref="M39:N39"/>
    <mergeCell ref="M614:N614"/>
    <mergeCell ref="E44:F44"/>
    <mergeCell ref="I179:J179"/>
    <mergeCell ref="A497:A498"/>
    <mergeCell ref="G579:H579"/>
    <mergeCell ref="I337:J337"/>
    <mergeCell ref="G573:H573"/>
    <mergeCell ref="I635:J635"/>
    <mergeCell ref="G141:H141"/>
    <mergeCell ref="G116:H116"/>
    <mergeCell ref="E352:F352"/>
    <mergeCell ref="G414:H414"/>
    <mergeCell ref="M339:N339"/>
    <mergeCell ref="M643:N643"/>
    <mergeCell ref="A499:A500"/>
    <mergeCell ref="Q290:R290"/>
    <mergeCell ref="I637:J637"/>
    <mergeCell ref="G416:H416"/>
    <mergeCell ref="E226:F226"/>
    <mergeCell ref="M484:N484"/>
    <mergeCell ref="M459:N459"/>
    <mergeCell ref="I505:J505"/>
    <mergeCell ref="E70:F70"/>
    <mergeCell ref="E228:F228"/>
    <mergeCell ref="B188:B189"/>
    <mergeCell ref="M486:N486"/>
    <mergeCell ref="M29:N29"/>
    <mergeCell ref="M23:N23"/>
    <mergeCell ref="M365:N365"/>
    <mergeCell ref="B13:B15"/>
    <mergeCell ref="G134:H134"/>
    <mergeCell ref="A280:A285"/>
    <mergeCell ref="M479:N479"/>
    <mergeCell ref="I50:J50"/>
    <mergeCell ref="E553:F553"/>
    <mergeCell ref="G286:H286"/>
    <mergeCell ref="A639:A640"/>
    <mergeCell ref="E96:F96"/>
    <mergeCell ref="G584:H584"/>
    <mergeCell ref="M373:N373"/>
    <mergeCell ref="M58:N58"/>
    <mergeCell ref="K294:L294"/>
    <mergeCell ref="K565:L565"/>
    <mergeCell ref="G503:H503"/>
    <mergeCell ref="I559:J559"/>
    <mergeCell ref="G617:H617"/>
    <mergeCell ref="I350:J350"/>
    <mergeCell ref="E98:F98"/>
    <mergeCell ref="K108:L108"/>
    <mergeCell ref="A429:A430"/>
    <mergeCell ref="A396:N396"/>
    <mergeCell ref="I567:J567"/>
    <mergeCell ref="K325:L325"/>
    <mergeCell ref="I561:J561"/>
    <mergeCell ref="G488:H488"/>
    <mergeCell ref="M512:N512"/>
    <mergeCell ref="K20:L20"/>
    <mergeCell ref="G156:H156"/>
    <mergeCell ref="E398:F398"/>
    <mergeCell ref="K318:L318"/>
    <mergeCell ref="G498:H498"/>
    <mergeCell ref="I560:J560"/>
    <mergeCell ref="K625:L625"/>
    <mergeCell ref="A424:A425"/>
    <mergeCell ref="C236:D236"/>
    <mergeCell ref="K22:L22"/>
    <mergeCell ref="M84:N84"/>
    <mergeCell ref="I220:J220"/>
    <mergeCell ref="K320:L320"/>
    <mergeCell ref="I562:J562"/>
    <mergeCell ref="G187:H187"/>
    <mergeCell ref="E423:F423"/>
    <mergeCell ref="G485:H485"/>
    <mergeCell ref="M507:N507"/>
    <mergeCell ref="G643:H643"/>
    <mergeCell ref="E2:F2"/>
    <mergeCell ref="B245:B246"/>
    <mergeCell ref="E300:F300"/>
    <mergeCell ref="M86:N86"/>
    <mergeCell ref="G180:H180"/>
    <mergeCell ref="E422:F422"/>
    <mergeCell ref="M42:N42"/>
    <mergeCell ref="M80:N80"/>
    <mergeCell ref="E458:F458"/>
    <mergeCell ref="G216:H216"/>
    <mergeCell ref="G487:H487"/>
    <mergeCell ref="E452:F452"/>
    <mergeCell ref="B89:B90"/>
    <mergeCell ref="A563:A564"/>
    <mergeCell ref="G188:H188"/>
    <mergeCell ref="G182:H182"/>
    <mergeCell ref="G111:H111"/>
    <mergeCell ref="M411:N411"/>
    <mergeCell ref="G218:H218"/>
    <mergeCell ref="I280:J280"/>
    <mergeCell ref="K38:L38"/>
    <mergeCell ref="I551:J551"/>
    <mergeCell ref="I274:J274"/>
    <mergeCell ref="K467:L467"/>
    <mergeCell ref="A266:A267"/>
    <mergeCell ref="E453:F453"/>
    <mergeCell ref="G211:H211"/>
    <mergeCell ref="I246:J246"/>
    <mergeCell ref="K4:L4"/>
    <mergeCell ref="K338:L338"/>
    <mergeCell ref="A477:A478"/>
    <mergeCell ref="I275:J275"/>
    <mergeCell ref="K33:L33"/>
    <mergeCell ref="E142:F142"/>
    <mergeCell ref="B568:B570"/>
    <mergeCell ref="K340:L340"/>
    <mergeCell ref="I302:J302"/>
    <mergeCell ref="M70:N70"/>
    <mergeCell ref="K35:L35"/>
    <mergeCell ref="I277:J277"/>
    <mergeCell ref="M437:N437"/>
    <mergeCell ref="E171:F171"/>
    <mergeCell ref="K333:L333"/>
    <mergeCell ref="E442:F442"/>
    <mergeCell ref="B563:B564"/>
    <mergeCell ref="I575:J575"/>
    <mergeCell ref="E600:F600"/>
    <mergeCell ref="M10:N10"/>
    <mergeCell ref="G358:H358"/>
    <mergeCell ref="E137:F137"/>
    <mergeCell ref="K366:L366"/>
    <mergeCell ref="M99:N99"/>
    <mergeCell ref="M615:N615"/>
    <mergeCell ref="E173:F173"/>
    <mergeCell ref="G569:H569"/>
    <mergeCell ref="I631:J631"/>
    <mergeCell ref="E471:F471"/>
    <mergeCell ref="G229:H229"/>
    <mergeCell ref="P141:S142"/>
    <mergeCell ref="G360:H360"/>
    <mergeCell ref="K180:L180"/>
    <mergeCell ref="G148:H148"/>
    <mergeCell ref="M310:N310"/>
    <mergeCell ref="I416:J416"/>
    <mergeCell ref="E166:F166"/>
    <mergeCell ref="I633:J633"/>
    <mergeCell ref="G114:H114"/>
    <mergeCell ref="I170:J170"/>
    <mergeCell ref="K480:L480"/>
    <mergeCell ref="I328:J328"/>
    <mergeCell ref="E168:F168"/>
    <mergeCell ref="M455:N455"/>
    <mergeCell ref="G143:H143"/>
    <mergeCell ref="B412:B414"/>
    <mergeCell ref="I172:J172"/>
    <mergeCell ref="K234:L234"/>
    <mergeCell ref="M150:N150"/>
    <mergeCell ref="I628:J628"/>
    <mergeCell ref="I288:J288"/>
    <mergeCell ref="C3:D3"/>
    <mergeCell ref="K236:L236"/>
    <mergeCell ref="M152:N152"/>
    <mergeCell ref="M450:N450"/>
    <mergeCell ref="I46:J46"/>
    <mergeCell ref="A635:A636"/>
    <mergeCell ref="B617:B618"/>
    <mergeCell ref="B624:B626"/>
    <mergeCell ref="E219:F219"/>
    <mergeCell ref="M452:N452"/>
    <mergeCell ref="G588:H588"/>
    <mergeCell ref="I346:J346"/>
    <mergeCell ref="G582:H582"/>
    <mergeCell ref="G283:H283"/>
    <mergeCell ref="I41:J41"/>
    <mergeCell ref="I348:J348"/>
    <mergeCell ref="K106:L106"/>
    <mergeCell ref="I470:J470"/>
    <mergeCell ref="K404:L404"/>
    <mergeCell ref="M597:N597"/>
    <mergeCell ref="G285:H285"/>
    <mergeCell ref="I43:J43"/>
    <mergeCell ref="K105:L105"/>
    <mergeCell ref="I347:J347"/>
    <mergeCell ref="I341:J341"/>
    <mergeCell ref="G583:H583"/>
    <mergeCell ref="K534:L534"/>
    <mergeCell ref="M292:N292"/>
    <mergeCell ref="B627:B628"/>
    <mergeCell ref="E366:F366"/>
    <mergeCell ref="M468:N468"/>
    <mergeCell ref="K316:L316"/>
    <mergeCell ref="M626:N626"/>
    <mergeCell ref="K107:L107"/>
    <mergeCell ref="K405:L405"/>
    <mergeCell ref="M163:N163"/>
    <mergeCell ref="E552:F552"/>
    <mergeCell ref="E237:F237"/>
    <mergeCell ref="I372:J372"/>
    <mergeCell ref="B629:B630"/>
    <mergeCell ref="E535:F535"/>
    <mergeCell ref="M592:N592"/>
    <mergeCell ref="M76:N76"/>
    <mergeCell ref="M380:N380"/>
    <mergeCell ref="B337:B339"/>
    <mergeCell ref="K407:L407"/>
    <mergeCell ref="M165:N165"/>
    <mergeCell ref="E239:F239"/>
    <mergeCell ref="G301:H301"/>
    <mergeCell ref="I59:J59"/>
    <mergeCell ref="E537:F537"/>
    <mergeCell ref="I374:J374"/>
    <mergeCell ref="B332:B333"/>
    <mergeCell ref="E238:F238"/>
    <mergeCell ref="G303:H303"/>
    <mergeCell ref="G601:H601"/>
    <mergeCell ref="I359:J359"/>
    <mergeCell ref="G636:H636"/>
    <mergeCell ref="G296:H296"/>
    <mergeCell ref="I271:J271"/>
    <mergeCell ref="K29:L29"/>
    <mergeCell ref="K458:L458"/>
    <mergeCell ref="E563:F563"/>
    <mergeCell ref="I273:J273"/>
    <mergeCell ref="K31:L31"/>
    <mergeCell ref="B309:B313"/>
    <mergeCell ref="B50:B52"/>
    <mergeCell ref="G354:H354"/>
    <mergeCell ref="G329:H329"/>
    <mergeCell ref="I87:J87"/>
    <mergeCell ref="B479:B481"/>
    <mergeCell ref="E565:F565"/>
    <mergeCell ref="G627:H627"/>
    <mergeCell ref="E108:F108"/>
    <mergeCell ref="M95:N95"/>
    <mergeCell ref="M89:N89"/>
    <mergeCell ref="B561:B562"/>
    <mergeCell ref="B350:B352"/>
    <mergeCell ref="E598:F598"/>
    <mergeCell ref="G356:H356"/>
    <mergeCell ref="I418:J418"/>
    <mergeCell ref="K176:L176"/>
    <mergeCell ref="G629:H629"/>
    <mergeCell ref="E162:F162"/>
    <mergeCell ref="M97:N97"/>
    <mergeCell ref="G51:H51"/>
    <mergeCell ref="E591:F591"/>
    <mergeCell ref="G349:H349"/>
    <mergeCell ref="M549:N549"/>
    <mergeCell ref="K476:L476"/>
    <mergeCell ref="E164:F164"/>
    <mergeCell ref="K57:L57"/>
    <mergeCell ref="G226:H226"/>
    <mergeCell ref="K486:L486"/>
    <mergeCell ref="I291:J291"/>
    <mergeCell ref="K171:L171"/>
    <mergeCell ref="I413:J413"/>
    <mergeCell ref="A89:A93"/>
    <mergeCell ref="K478:L478"/>
    <mergeCell ref="E195:F195"/>
    <mergeCell ref="K357:L357"/>
    <mergeCell ref="I415:J415"/>
    <mergeCell ref="M550:N550"/>
    <mergeCell ref="M113:N113"/>
    <mergeCell ref="E309:F309"/>
    <mergeCell ref="K471:L471"/>
    <mergeCell ref="E188:F188"/>
    <mergeCell ref="I286:J286"/>
    <mergeCell ref="M421:N421"/>
    <mergeCell ref="E495:F495"/>
    <mergeCell ref="A342:A344"/>
    <mergeCell ref="E180:F180"/>
    <mergeCell ref="G551:H551"/>
    <mergeCell ref="M535:N535"/>
    <mergeCell ref="E609:F609"/>
    <mergeCell ref="E190:F190"/>
    <mergeCell ref="B280:B282"/>
    <mergeCell ref="K174:L174"/>
    <mergeCell ref="M108:N108"/>
    <mergeCell ref="T444:U444"/>
    <mergeCell ref="E182:F182"/>
    <mergeCell ref="K75:L75"/>
    <mergeCell ref="I317:J317"/>
    <mergeCell ref="E480:F480"/>
    <mergeCell ref="K504:L504"/>
    <mergeCell ref="I12:J12"/>
    <mergeCell ref="E490:F490"/>
    <mergeCell ref="G248:H248"/>
    <mergeCell ref="A637:A638"/>
    <mergeCell ref="K497:L497"/>
    <mergeCell ref="I39:J39"/>
    <mergeCell ref="I14:J14"/>
    <mergeCell ref="A332:A333"/>
    <mergeCell ref="I312:J312"/>
    <mergeCell ref="K70:L70"/>
    <mergeCell ref="E179:F179"/>
    <mergeCell ref="B421:B423"/>
    <mergeCell ref="E635:F635"/>
    <mergeCell ref="K103:L103"/>
    <mergeCell ref="I339:J339"/>
    <mergeCell ref="I314:J314"/>
    <mergeCell ref="M159:N159"/>
    <mergeCell ref="M134:N134"/>
    <mergeCell ref="K401:L401"/>
    <mergeCell ref="E208:F208"/>
    <mergeCell ref="M588:N588"/>
    <mergeCell ref="E637:F637"/>
    <mergeCell ref="M624:N624"/>
    <mergeCell ref="M167:N167"/>
    <mergeCell ref="K403:L403"/>
    <mergeCell ref="M161:N161"/>
    <mergeCell ref="E210:F210"/>
    <mergeCell ref="M617:N617"/>
    <mergeCell ref="A412:A417"/>
    <mergeCell ref="I484:J484"/>
    <mergeCell ref="I459:J459"/>
    <mergeCell ref="K217:L217"/>
    <mergeCell ref="B328:B329"/>
    <mergeCell ref="E203:F203"/>
    <mergeCell ref="M461:N461"/>
    <mergeCell ref="B5:B7"/>
    <mergeCell ref="A233:A234"/>
    <mergeCell ref="A479:A481"/>
    <mergeCell ref="I365:J365"/>
    <mergeCell ref="G292:H292"/>
    <mergeCell ref="G267:H267"/>
    <mergeCell ref="I25:J25"/>
    <mergeCell ref="C134:D134"/>
    <mergeCell ref="E534:F534"/>
    <mergeCell ref="M492:N492"/>
    <mergeCell ref="B449:B451"/>
    <mergeCell ref="M606:N606"/>
    <mergeCell ref="I58:J58"/>
    <mergeCell ref="A617:A621"/>
    <mergeCell ref="G294:H294"/>
    <mergeCell ref="M187:N187"/>
    <mergeCell ref="K307:L307"/>
    <mergeCell ref="K429:L429"/>
    <mergeCell ref="M485:N485"/>
    <mergeCell ref="A83:A85"/>
    <mergeCell ref="E559:F559"/>
    <mergeCell ref="K543:L543"/>
    <mergeCell ref="K2:L2"/>
    <mergeCell ref="G108:H108"/>
    <mergeCell ref="E350:F350"/>
    <mergeCell ref="M195:N195"/>
    <mergeCell ref="K431:L431"/>
    <mergeCell ref="M189:N189"/>
    <mergeCell ref="E567:F567"/>
    <mergeCell ref="G325:H325"/>
    <mergeCell ref="I83:J83"/>
    <mergeCell ref="M487:N487"/>
    <mergeCell ref="E561:F561"/>
    <mergeCell ref="G20:H20"/>
    <mergeCell ref="E560:F560"/>
    <mergeCell ref="G318:H318"/>
    <mergeCell ref="G625:H625"/>
    <mergeCell ref="T468:U468"/>
    <mergeCell ref="M190:N190"/>
    <mergeCell ref="I541:J541"/>
    <mergeCell ref="G22:H22"/>
    <mergeCell ref="I84:J84"/>
    <mergeCell ref="E562:F562"/>
    <mergeCell ref="G320:H320"/>
    <mergeCell ref="B639:B640"/>
    <mergeCell ref="K447:L447"/>
    <mergeCell ref="M205:N205"/>
    <mergeCell ref="M363:N363"/>
    <mergeCell ref="M634:N634"/>
    <mergeCell ref="I86:J86"/>
    <mergeCell ref="I80:J80"/>
    <mergeCell ref="K142:L142"/>
    <mergeCell ref="G620:H620"/>
    <mergeCell ref="I378:J378"/>
    <mergeCell ref="M329:N329"/>
    <mergeCell ref="K55:L55"/>
    <mergeCell ref="E403:F403"/>
    <mergeCell ref="M627:N627"/>
    <mergeCell ref="Q39:R39"/>
    <mergeCell ref="K144:L144"/>
    <mergeCell ref="E280:F280"/>
    <mergeCell ref="G38:H38"/>
    <mergeCell ref="K442:L442"/>
    <mergeCell ref="E274:F274"/>
    <mergeCell ref="M629:N629"/>
    <mergeCell ref="E432:F432"/>
    <mergeCell ref="B367:B368"/>
    <mergeCell ref="M548:N548"/>
    <mergeCell ref="G162:H162"/>
    <mergeCell ref="G338:H338"/>
    <mergeCell ref="G460:H460"/>
    <mergeCell ref="E186:F186"/>
    <mergeCell ref="A297:A298"/>
    <mergeCell ref="G496:H496"/>
    <mergeCell ref="B369:B370"/>
    <mergeCell ref="E275:F275"/>
    <mergeCell ref="G33:H33"/>
    <mergeCell ref="I226:J226"/>
    <mergeCell ref="K500:L500"/>
    <mergeCell ref="G340:H340"/>
    <mergeCell ref="I8:J8"/>
    <mergeCell ref="A299:A300"/>
    <mergeCell ref="K589:L589"/>
    <mergeCell ref="I554:J554"/>
    <mergeCell ref="I437:J437"/>
    <mergeCell ref="G35:H35"/>
    <mergeCell ref="G333:H333"/>
    <mergeCell ref="K284:L284"/>
    <mergeCell ref="I10:J10"/>
    <mergeCell ref="C358:D358"/>
    <mergeCell ref="G550:H550"/>
    <mergeCell ref="I308:J308"/>
    <mergeCell ref="K618:L618"/>
    <mergeCell ref="K197:L197"/>
    <mergeCell ref="G366:H366"/>
    <mergeCell ref="I99:J99"/>
    <mergeCell ref="K495:L495"/>
    <mergeCell ref="K501:L501"/>
    <mergeCell ref="E631:F631"/>
    <mergeCell ref="C229:D229"/>
    <mergeCell ref="K74:L74"/>
    <mergeCell ref="B550:B552"/>
    <mergeCell ref="I310:J310"/>
    <mergeCell ref="K68:L68"/>
    <mergeCell ref="K372:L372"/>
    <mergeCell ref="K584:L584"/>
    <mergeCell ref="M559:N559"/>
    <mergeCell ref="E633:F633"/>
    <mergeCell ref="B297:B298"/>
    <mergeCell ref="G480:H480"/>
    <mergeCell ref="E328:F328"/>
    <mergeCell ref="M430:N430"/>
    <mergeCell ref="M290:N290"/>
    <mergeCell ref="M561:N561"/>
    <mergeCell ref="I455:J455"/>
    <mergeCell ref="K213:L213"/>
    <mergeCell ref="I150:J150"/>
    <mergeCell ref="E628:F628"/>
    <mergeCell ref="E288:F288"/>
    <mergeCell ref="M590:N590"/>
    <mergeCell ref="A301:A308"/>
    <mergeCell ref="I21:J21"/>
    <mergeCell ref="I152:J152"/>
    <mergeCell ref="I450:J450"/>
    <mergeCell ref="E46:F46"/>
    <mergeCell ref="I486:J486"/>
    <mergeCell ref="I23:J23"/>
    <mergeCell ref="K216:L216"/>
    <mergeCell ref="I452:J452"/>
    <mergeCell ref="K210:L210"/>
    <mergeCell ref="M272:N272"/>
    <mergeCell ref="E346:F346"/>
    <mergeCell ref="B148:B150"/>
    <mergeCell ref="B439:B440"/>
    <mergeCell ref="B446:B448"/>
    <mergeCell ref="E41:F41"/>
    <mergeCell ref="M274:N274"/>
    <mergeCell ref="I481:J481"/>
    <mergeCell ref="E348:F348"/>
    <mergeCell ref="G106:H106"/>
    <mergeCell ref="G448:H448"/>
    <mergeCell ref="B19:B21"/>
    <mergeCell ref="G404:H404"/>
    <mergeCell ref="B317:B319"/>
    <mergeCell ref="E43:F43"/>
    <mergeCell ref="G105:H105"/>
    <mergeCell ref="I178:J178"/>
    <mergeCell ref="E341:F341"/>
    <mergeCell ref="M186:N186"/>
    <mergeCell ref="I512:J512"/>
    <mergeCell ref="I468:J468"/>
    <mergeCell ref="I49:J49"/>
    <mergeCell ref="A367:A368"/>
    <mergeCell ref="G107:H107"/>
    <mergeCell ref="I478:J478"/>
    <mergeCell ref="G405:H405"/>
    <mergeCell ref="I163:J163"/>
    <mergeCell ref="E372:F372"/>
    <mergeCell ref="I380:J380"/>
    <mergeCell ref="A369:A370"/>
    <mergeCell ref="M300:N300"/>
    <mergeCell ref="E374:F374"/>
    <mergeCell ref="K140:L140"/>
    <mergeCell ref="E367:F367"/>
    <mergeCell ref="K229:L229"/>
    <mergeCell ref="B363:B364"/>
    <mergeCell ref="M204:N204"/>
    <mergeCell ref="K440:L440"/>
    <mergeCell ref="K598:L598"/>
    <mergeCell ref="M356:N356"/>
    <mergeCell ref="B611:B613"/>
    <mergeCell ref="B365:B366"/>
    <mergeCell ref="E271:F271"/>
    <mergeCell ref="G29:H29"/>
    <mergeCell ref="G4:H4"/>
    <mergeCell ref="A218:A220"/>
    <mergeCell ref="K585:L585"/>
    <mergeCell ref="I550:J550"/>
    <mergeCell ref="E273:F273"/>
    <mergeCell ref="G31:H31"/>
    <mergeCell ref="E571:F571"/>
    <mergeCell ref="K280:L280"/>
    <mergeCell ref="C627:D627"/>
    <mergeCell ref="I552:J552"/>
    <mergeCell ref="K614:L614"/>
    <mergeCell ref="M372:N372"/>
    <mergeCell ref="I95:J95"/>
    <mergeCell ref="I89:J89"/>
    <mergeCell ref="K624:L624"/>
    <mergeCell ref="K309:L309"/>
    <mergeCell ref="E418:F418"/>
    <mergeCell ref="G176:H176"/>
    <mergeCell ref="K580:L580"/>
    <mergeCell ref="K616:L616"/>
    <mergeCell ref="K153:L153"/>
    <mergeCell ref="B505:B506"/>
    <mergeCell ref="I553:J553"/>
    <mergeCell ref="K609:L609"/>
    <mergeCell ref="G476:H476"/>
    <mergeCell ref="G57:H57"/>
    <mergeCell ref="C226:D226"/>
    <mergeCell ref="E413:F413"/>
    <mergeCell ref="G171:H171"/>
    <mergeCell ref="B541:B543"/>
    <mergeCell ref="M227:N227"/>
    <mergeCell ref="I578:J578"/>
    <mergeCell ref="G357:H357"/>
    <mergeCell ref="E284:F284"/>
    <mergeCell ref="M586:N586"/>
    <mergeCell ref="G471:H471"/>
    <mergeCell ref="G58:H58"/>
    <mergeCell ref="K642:L642"/>
    <mergeCell ref="M400:N400"/>
    <mergeCell ref="E286:F286"/>
    <mergeCell ref="K179:L179"/>
    <mergeCell ref="I421:J421"/>
    <mergeCell ref="I535:J535"/>
    <mergeCell ref="E317:F317"/>
    <mergeCell ref="G75:H75"/>
    <mergeCell ref="G531:H531"/>
    <mergeCell ref="E12:F12"/>
    <mergeCell ref="I477:J477"/>
    <mergeCell ref="K235:L235"/>
    <mergeCell ref="G497:H497"/>
    <mergeCell ref="G533:H533"/>
    <mergeCell ref="E14:F14"/>
    <mergeCell ref="E312:F312"/>
    <mergeCell ref="G70:H70"/>
    <mergeCell ref="K541:L541"/>
    <mergeCell ref="I508:J508"/>
    <mergeCell ref="K21:L21"/>
    <mergeCell ref="A363:A364"/>
    <mergeCell ref="I293:J293"/>
    <mergeCell ref="K355:L355"/>
    <mergeCell ref="E314:F314"/>
    <mergeCell ref="I134:J134"/>
    <mergeCell ref="M599:N599"/>
    <mergeCell ref="K566:L566"/>
    <mergeCell ref="A365:A366"/>
    <mergeCell ref="M296:N296"/>
    <mergeCell ref="I503:J503"/>
    <mergeCell ref="E370:F370"/>
    <mergeCell ref="K532:L532"/>
    <mergeCell ref="M630:N630"/>
    <mergeCell ref="M27:N27"/>
    <mergeCell ref="A37:A44"/>
    <mergeCell ref="M298:N298"/>
    <mergeCell ref="M325:N325"/>
    <mergeCell ref="G432:H432"/>
    <mergeCell ref="E399:F399"/>
    <mergeCell ref="E154:F154"/>
    <mergeCell ref="G428:H428"/>
    <mergeCell ref="M456:N456"/>
    <mergeCell ref="K561:L561"/>
    <mergeCell ref="K567:L567"/>
    <mergeCell ref="M596:N596"/>
    <mergeCell ref="E488:F488"/>
    <mergeCell ref="G246:H246"/>
    <mergeCell ref="A606:A608"/>
    <mergeCell ref="E365:F365"/>
    <mergeCell ref="E25:F25"/>
    <mergeCell ref="M327:N327"/>
    <mergeCell ref="K569:L569"/>
    <mergeCell ref="M625:N625"/>
    <mergeCell ref="I492:J492"/>
    <mergeCell ref="E454:F454"/>
    <mergeCell ref="E58:F58"/>
    <mergeCell ref="G429:H429"/>
    <mergeCell ref="I187:J187"/>
    <mergeCell ref="A505:A506"/>
    <mergeCell ref="I485:J485"/>
    <mergeCell ref="I643:J643"/>
    <mergeCell ref="G2:H2"/>
    <mergeCell ref="A148:A153"/>
    <mergeCell ref="G300:H300"/>
    <mergeCell ref="G431:H431"/>
    <mergeCell ref="I189:J189"/>
    <mergeCell ref="G458:H458"/>
    <mergeCell ref="M9:N9"/>
    <mergeCell ref="I487:J487"/>
    <mergeCell ref="E83:F83"/>
    <mergeCell ref="A507:A508"/>
    <mergeCell ref="I610:J610"/>
    <mergeCell ref="K281:L281"/>
    <mergeCell ref="I188:J188"/>
    <mergeCell ref="M11:N11"/>
    <mergeCell ref="I218:J218"/>
    <mergeCell ref="K551:L551"/>
    <mergeCell ref="C625:D625"/>
    <mergeCell ref="K411:L411"/>
    <mergeCell ref="M169:N169"/>
    <mergeCell ref="M467:N467"/>
    <mergeCell ref="E541:F541"/>
    <mergeCell ref="B185:B187"/>
    <mergeCell ref="E84:F84"/>
    <mergeCell ref="E78:F78"/>
    <mergeCell ref="K282:L282"/>
    <mergeCell ref="M40:N40"/>
    <mergeCell ref="E114:F114"/>
    <mergeCell ref="G447:H447"/>
    <mergeCell ref="I205:J205"/>
    <mergeCell ref="M469:N469"/>
    <mergeCell ref="M12:N12"/>
    <mergeCell ref="E86:F86"/>
    <mergeCell ref="E80:F80"/>
    <mergeCell ref="G142:H142"/>
    <mergeCell ref="E378:F378"/>
    <mergeCell ref="M340:N340"/>
    <mergeCell ref="E536:F536"/>
    <mergeCell ref="Q291:R291"/>
    <mergeCell ref="A269:A276"/>
    <mergeCell ref="G144:H144"/>
    <mergeCell ref="G442:H442"/>
    <mergeCell ref="K638:L638"/>
    <mergeCell ref="G600:H600"/>
    <mergeCell ref="I358:J358"/>
    <mergeCell ref="E81:F81"/>
    <mergeCell ref="G173:H173"/>
    <mergeCell ref="K631:L631"/>
    <mergeCell ref="K422:L422"/>
    <mergeCell ref="C496:D496"/>
    <mergeCell ref="E106:F106"/>
    <mergeCell ref="K335:L335"/>
    <mergeCell ref="K633:L633"/>
    <mergeCell ref="G473:H473"/>
    <mergeCell ref="E440:F440"/>
    <mergeCell ref="G170:H170"/>
    <mergeCell ref="M399:N399"/>
    <mergeCell ref="C333:D333"/>
    <mergeCell ref="G504:H504"/>
    <mergeCell ref="E10:F10"/>
    <mergeCell ref="I289:J289"/>
    <mergeCell ref="K351:L351"/>
    <mergeCell ref="I593:J593"/>
    <mergeCell ref="G74:H74"/>
    <mergeCell ref="A528:N528"/>
    <mergeCell ref="E310:F310"/>
    <mergeCell ref="I587:J587"/>
    <mergeCell ref="I430:J430"/>
    <mergeCell ref="I290:J290"/>
    <mergeCell ref="K48:L48"/>
    <mergeCell ref="I588:J588"/>
    <mergeCell ref="K346:L346"/>
    <mergeCell ref="K477:L477"/>
    <mergeCell ref="B113:B114"/>
    <mergeCell ref="M112:N112"/>
    <mergeCell ref="I590:J590"/>
    <mergeCell ref="K348:L348"/>
    <mergeCell ref="E484:F484"/>
    <mergeCell ref="G242:H242"/>
    <mergeCell ref="M541:N541"/>
    <mergeCell ref="B115:B116"/>
    <mergeCell ref="E21:F21"/>
    <mergeCell ref="B571:B572"/>
    <mergeCell ref="M114:N114"/>
    <mergeCell ref="G208:H208"/>
    <mergeCell ref="B578:B580"/>
    <mergeCell ref="M412:N412"/>
    <mergeCell ref="E486:F486"/>
    <mergeCell ref="G244:H244"/>
    <mergeCell ref="I615:J615"/>
    <mergeCell ref="G542:H542"/>
    <mergeCell ref="E23:F23"/>
    <mergeCell ref="M107:N107"/>
    <mergeCell ref="E181:F181"/>
    <mergeCell ref="I316:J316"/>
    <mergeCell ref="G552:H552"/>
    <mergeCell ref="I272:J272"/>
    <mergeCell ref="G237:H237"/>
    <mergeCell ref="E479:F479"/>
    <mergeCell ref="A334:A341"/>
    <mergeCell ref="G544:H544"/>
    <mergeCell ref="I606:J606"/>
    <mergeCell ref="K76:L76"/>
    <mergeCell ref="M138:N138"/>
    <mergeCell ref="G245:H245"/>
    <mergeCell ref="K374:L374"/>
    <mergeCell ref="I301:J301"/>
    <mergeCell ref="E481:F481"/>
    <mergeCell ref="E510:F510"/>
    <mergeCell ref="G543:H543"/>
    <mergeCell ref="G456:H456"/>
    <mergeCell ref="I214:J214"/>
    <mergeCell ref="K276:L276"/>
    <mergeCell ref="I186:J186"/>
    <mergeCell ref="I601:J601"/>
    <mergeCell ref="E468:F468"/>
    <mergeCell ref="G568:H568"/>
    <mergeCell ref="E49:F49"/>
    <mergeCell ref="K278:L278"/>
    <mergeCell ref="M36:N36"/>
    <mergeCell ref="K576:L576"/>
    <mergeCell ref="E163:F163"/>
    <mergeCell ref="M465:N465"/>
    <mergeCell ref="M8:N8"/>
    <mergeCell ref="G570:H570"/>
    <mergeCell ref="B501:B502"/>
    <mergeCell ref="G113:H113"/>
    <mergeCell ref="K578:L578"/>
    <mergeCell ref="M336:N336"/>
    <mergeCell ref="Q287:R287"/>
    <mergeCell ref="I634:J634"/>
    <mergeCell ref="B503:B504"/>
    <mergeCell ref="A594:N594"/>
    <mergeCell ref="Q289:R289"/>
    <mergeCell ref="G169:H169"/>
    <mergeCell ref="A103:A104"/>
    <mergeCell ref="M193:N193"/>
    <mergeCell ref="G598:H598"/>
    <mergeCell ref="I356:J356"/>
    <mergeCell ref="K418:L418"/>
    <mergeCell ref="M491:N491"/>
    <mergeCell ref="I233:J233"/>
    <mergeCell ref="M64:N64"/>
    <mergeCell ref="G469:H469"/>
    <mergeCell ref="I227:J227"/>
    <mergeCell ref="B325:B327"/>
    <mergeCell ref="M362:N362"/>
    <mergeCell ref="E436:F436"/>
    <mergeCell ref="K420:L420"/>
    <mergeCell ref="M178:N178"/>
    <mergeCell ref="M476:N476"/>
    <mergeCell ref="E550:F550"/>
    <mergeCell ref="T472:U472"/>
    <mergeCell ref="B485:B486"/>
    <mergeCell ref="M364:N364"/>
    <mergeCell ref="K291:L291"/>
    <mergeCell ref="B643:B644"/>
    <mergeCell ref="B637:B638"/>
    <mergeCell ref="M65:N65"/>
    <mergeCell ref="G614:H614"/>
    <mergeCell ref="M21:N21"/>
    <mergeCell ref="G195:H195"/>
    <mergeCell ref="I224:J224"/>
    <mergeCell ref="E431:F431"/>
    <mergeCell ref="G493:H493"/>
    <mergeCell ref="G624:H624"/>
    <mergeCell ref="G309:H309"/>
    <mergeCell ref="I558:J558"/>
    <mergeCell ref="G616:H616"/>
    <mergeCell ref="A115:A116"/>
    <mergeCell ref="G197:H197"/>
    <mergeCell ref="K17:L17"/>
    <mergeCell ref="G495:H495"/>
    <mergeCell ref="C362:D362"/>
    <mergeCell ref="K148:L148"/>
    <mergeCell ref="K446:L446"/>
    <mergeCell ref="K622:L622"/>
    <mergeCell ref="A245:A246"/>
    <mergeCell ref="B213:B214"/>
    <mergeCell ref="K19:L19"/>
    <mergeCell ref="K317:L317"/>
    <mergeCell ref="K448:L448"/>
    <mergeCell ref="M206:N206"/>
    <mergeCell ref="M510:N510"/>
    <mergeCell ref="M504:N504"/>
    <mergeCell ref="E578:F578"/>
    <mergeCell ref="M83:N83"/>
    <mergeCell ref="K319:L319"/>
    <mergeCell ref="B40:B42"/>
    <mergeCell ref="E151:F151"/>
    <mergeCell ref="E455:F455"/>
    <mergeCell ref="E449:F449"/>
    <mergeCell ref="B208:B209"/>
    <mergeCell ref="M506:N506"/>
    <mergeCell ref="M49:N49"/>
    <mergeCell ref="E150:F150"/>
    <mergeCell ref="E421:F421"/>
    <mergeCell ref="G179:H179"/>
    <mergeCell ref="G39:H39"/>
    <mergeCell ref="E579:F579"/>
    <mergeCell ref="G337:H337"/>
    <mergeCell ref="E573:F573"/>
    <mergeCell ref="G635:H635"/>
    <mergeCell ref="M78:N78"/>
    <mergeCell ref="E152:F152"/>
    <mergeCell ref="E450:F450"/>
    <mergeCell ref="I103:J103"/>
    <mergeCell ref="G339:H339"/>
    <mergeCell ref="I97:J97"/>
    <mergeCell ref="K159:L159"/>
    <mergeCell ref="I401:J401"/>
    <mergeCell ref="G637:H637"/>
    <mergeCell ref="C531:D531"/>
    <mergeCell ref="A134:A135"/>
    <mergeCell ref="K370:L370"/>
    <mergeCell ref="G210:H210"/>
    <mergeCell ref="I403:J403"/>
    <mergeCell ref="K161:L161"/>
    <mergeCell ref="K459:L459"/>
    <mergeCell ref="M217:N217"/>
    <mergeCell ref="E589:F589"/>
    <mergeCell ref="M136:N136"/>
    <mergeCell ref="M434:N434"/>
    <mergeCell ref="E508:F508"/>
    <mergeCell ref="M225:N225"/>
    <mergeCell ref="K461:L461"/>
    <mergeCell ref="B86:B88"/>
    <mergeCell ref="K65:L65"/>
    <mergeCell ref="E134:F134"/>
    <mergeCell ref="M436:N436"/>
    <mergeCell ref="E501:F501"/>
    <mergeCell ref="E292:F292"/>
    <mergeCell ref="G50:H50"/>
    <mergeCell ref="G566:H566"/>
    <mergeCell ref="K373:L373"/>
    <mergeCell ref="E503:F503"/>
    <mergeCell ref="G52:H52"/>
    <mergeCell ref="I630:J630"/>
    <mergeCell ref="G350:H350"/>
    <mergeCell ref="I27:J27"/>
    <mergeCell ref="G567:H567"/>
    <mergeCell ref="I325:J325"/>
    <mergeCell ref="E165:F165"/>
    <mergeCell ref="G561:H561"/>
    <mergeCell ref="A643:A644"/>
    <mergeCell ref="M276:N276"/>
    <mergeCell ref="K91:L91"/>
    <mergeCell ref="I327:J327"/>
    <mergeCell ref="K85:L85"/>
    <mergeCell ref="I625:J625"/>
    <mergeCell ref="E221:F221"/>
    <mergeCell ref="M278:N278"/>
    <mergeCell ref="M576:N576"/>
    <mergeCell ref="I22:J22"/>
    <mergeCell ref="K84:L84"/>
    <mergeCell ref="M149:N149"/>
    <mergeCell ref="M271:N271"/>
    <mergeCell ref="M447:N447"/>
    <mergeCell ref="E643:F643"/>
    <mergeCell ref="G279:H279"/>
    <mergeCell ref="B404:B406"/>
    <mergeCell ref="C2:D2"/>
    <mergeCell ref="T443:U443"/>
    <mergeCell ref="M578:N578"/>
    <mergeCell ref="M605:N605"/>
    <mergeCell ref="K86:L86"/>
    <mergeCell ref="E610:F610"/>
    <mergeCell ref="E216:F216"/>
    <mergeCell ref="M151:N151"/>
    <mergeCell ref="M449:N449"/>
    <mergeCell ref="I167:J167"/>
    <mergeCell ref="T470:U470"/>
    <mergeCell ref="G281:H281"/>
    <mergeCell ref="I343:J343"/>
    <mergeCell ref="G585:H585"/>
    <mergeCell ref="M607:N607"/>
    <mergeCell ref="E218:F218"/>
    <mergeCell ref="G280:H280"/>
    <mergeCell ref="I38:J38"/>
    <mergeCell ref="G274:H274"/>
    <mergeCell ref="G411:H411"/>
    <mergeCell ref="I169:J169"/>
    <mergeCell ref="A627:A628"/>
    <mergeCell ref="I467:J467"/>
    <mergeCell ref="G282:H282"/>
    <mergeCell ref="I40:J40"/>
    <mergeCell ref="G580:H580"/>
    <mergeCell ref="I338:J338"/>
    <mergeCell ref="A629:A630"/>
    <mergeCell ref="K233:L233"/>
    <mergeCell ref="I469:J469"/>
    <mergeCell ref="K227:L227"/>
    <mergeCell ref="K531:L531"/>
    <mergeCell ref="K444:L444"/>
    <mergeCell ref="M177:N177"/>
    <mergeCell ref="K104:L104"/>
    <mergeCell ref="M500:N500"/>
    <mergeCell ref="I340:J340"/>
    <mergeCell ref="G307:H307"/>
    <mergeCell ref="E234:F234"/>
    <mergeCell ref="K533:L533"/>
    <mergeCell ref="M291:N291"/>
    <mergeCell ref="M79:N79"/>
    <mergeCell ref="M589:N589"/>
    <mergeCell ref="E244:F244"/>
    <mergeCell ref="B334:B336"/>
    <mergeCell ref="M508:N508"/>
    <mergeCell ref="M502:N502"/>
    <mergeCell ref="B452:B453"/>
    <mergeCell ref="E236:F236"/>
    <mergeCell ref="E358:F358"/>
    <mergeCell ref="M501:N501"/>
    <mergeCell ref="K99:L99"/>
    <mergeCell ref="E544:F544"/>
    <mergeCell ref="A330:N330"/>
    <mergeCell ref="E229:F229"/>
    <mergeCell ref="G631:H631"/>
    <mergeCell ref="M74:N74"/>
    <mergeCell ref="G422:H422"/>
    <mergeCell ref="E148:F148"/>
    <mergeCell ref="E446:F446"/>
    <mergeCell ref="M503:N503"/>
    <mergeCell ref="G335:H335"/>
    <mergeCell ref="K155:L155"/>
    <mergeCell ref="G633:H633"/>
    <mergeCell ref="E448:F448"/>
    <mergeCell ref="G206:H206"/>
    <mergeCell ref="A485:A489"/>
    <mergeCell ref="I399:J399"/>
    <mergeCell ref="K157:L157"/>
    <mergeCell ref="K455:L455"/>
    <mergeCell ref="I270:J270"/>
    <mergeCell ref="K28:L28"/>
    <mergeCell ref="G506:H506"/>
    <mergeCell ref="I568:J568"/>
    <mergeCell ref="M221:N221"/>
    <mergeCell ref="K457:L457"/>
    <mergeCell ref="M215:N215"/>
    <mergeCell ref="E289:F289"/>
    <mergeCell ref="G351:H351"/>
    <mergeCell ref="E593:F593"/>
    <mergeCell ref="A409:A411"/>
    <mergeCell ref="K30:L30"/>
    <mergeCell ref="M92:N92"/>
    <mergeCell ref="K152:L152"/>
    <mergeCell ref="Q37:R37"/>
    <mergeCell ref="C97:D97"/>
    <mergeCell ref="M216:N216"/>
    <mergeCell ref="E290:F290"/>
    <mergeCell ref="G48:H48"/>
    <mergeCell ref="E588:F588"/>
    <mergeCell ref="G346:H346"/>
    <mergeCell ref="B377:B378"/>
    <mergeCell ref="E161:F161"/>
    <mergeCell ref="M218:N218"/>
    <mergeCell ref="Q38:R38"/>
    <mergeCell ref="K185:L185"/>
    <mergeCell ref="I112:J112"/>
    <mergeCell ref="E590:F590"/>
    <mergeCell ref="G348:H348"/>
    <mergeCell ref="K483:L483"/>
    <mergeCell ref="I404:J404"/>
    <mergeCell ref="A264:N264"/>
    <mergeCell ref="K56:L56"/>
    <mergeCell ref="I114:J114"/>
    <mergeCell ref="M572:N572"/>
    <mergeCell ref="M243:N243"/>
    <mergeCell ref="K170:L170"/>
    <mergeCell ref="I412:J412"/>
    <mergeCell ref="K468:L468"/>
    <mergeCell ref="E615:F615"/>
    <mergeCell ref="I107:J107"/>
    <mergeCell ref="E316:F316"/>
    <mergeCell ref="E614:F614"/>
    <mergeCell ref="G372:H372"/>
    <mergeCell ref="M234:N234"/>
    <mergeCell ref="E606:F606"/>
    <mergeCell ref="E187:F187"/>
    <mergeCell ref="G76:H76"/>
    <mergeCell ref="I138:J138"/>
    <mergeCell ref="G380:H380"/>
    <mergeCell ref="G374:H374"/>
    <mergeCell ref="E301:F301"/>
    <mergeCell ref="E616:F616"/>
    <mergeCell ref="M115:N115"/>
    <mergeCell ref="E189:F189"/>
    <mergeCell ref="I9:J9"/>
    <mergeCell ref="E487:F487"/>
    <mergeCell ref="I140:J140"/>
    <mergeCell ref="I438:J438"/>
    <mergeCell ref="K196:L196"/>
    <mergeCell ref="A202:A209"/>
    <mergeCell ref="E601:F601"/>
    <mergeCell ref="I11:J11"/>
    <mergeCell ref="I465:J465"/>
    <mergeCell ref="I440:J440"/>
    <mergeCell ref="K557:L557"/>
    <mergeCell ref="E29:F29"/>
    <mergeCell ref="E205:F205"/>
    <mergeCell ref="M287:N287"/>
    <mergeCell ref="M585:N585"/>
    <mergeCell ref="E31:F31"/>
    <mergeCell ref="E354:F354"/>
    <mergeCell ref="E329:F329"/>
    <mergeCell ref="G87:H87"/>
    <mergeCell ref="E627:F627"/>
    <mergeCell ref="M587:N587"/>
    <mergeCell ref="M168:N168"/>
    <mergeCell ref="I62:J62"/>
    <mergeCell ref="M282:N282"/>
    <mergeCell ref="G95:H95"/>
    <mergeCell ref="E356:F356"/>
    <mergeCell ref="G418:H418"/>
    <mergeCell ref="G89:H89"/>
    <mergeCell ref="I491:J491"/>
    <mergeCell ref="E629:F629"/>
    <mergeCell ref="K97:L97"/>
    <mergeCell ref="G306:H306"/>
    <mergeCell ref="I64:J64"/>
    <mergeCell ref="I362:J362"/>
    <mergeCell ref="G420:H420"/>
    <mergeCell ref="M313:N313"/>
    <mergeCell ref="I153:J153"/>
    <mergeCell ref="K555:L555"/>
    <mergeCell ref="I476:J476"/>
    <mergeCell ref="B320:B321"/>
    <mergeCell ref="I364:J364"/>
    <mergeCell ref="K426:L426"/>
    <mergeCell ref="M184:N184"/>
    <mergeCell ref="C500:D500"/>
    <mergeCell ref="C494:D494"/>
    <mergeCell ref="K242:L242"/>
    <mergeCell ref="M342:N342"/>
    <mergeCell ref="E556:F556"/>
    <mergeCell ref="I65:J65"/>
    <mergeCell ref="M613:N613"/>
    <mergeCell ref="I363:J363"/>
    <mergeCell ref="B345:B346"/>
    <mergeCell ref="C493:D493"/>
    <mergeCell ref="K428:L428"/>
    <mergeCell ref="M308:N308"/>
    <mergeCell ref="K550:L550"/>
    <mergeCell ref="E42:F42"/>
    <mergeCell ref="M344:N344"/>
    <mergeCell ref="E558:F558"/>
    <mergeCell ref="K586:L586"/>
    <mergeCell ref="M642:N642"/>
    <mergeCell ref="B353:B354"/>
    <mergeCell ref="G17:H17"/>
    <mergeCell ref="C495:D495"/>
    <mergeCell ref="B474:B476"/>
    <mergeCell ref="G446:H446"/>
    <mergeCell ref="E411:F411"/>
    <mergeCell ref="G622:H622"/>
    <mergeCell ref="M644:N644"/>
    <mergeCell ref="M212:N212"/>
    <mergeCell ref="B169:B171"/>
    <mergeCell ref="G19:H19"/>
    <mergeCell ref="G317:H317"/>
    <mergeCell ref="I75:J75"/>
    <mergeCell ref="I206:J206"/>
    <mergeCell ref="A137:A144"/>
    <mergeCell ref="I510:J510"/>
    <mergeCell ref="I504:J504"/>
    <mergeCell ref="B373:B374"/>
    <mergeCell ref="Q466:R466"/>
    <mergeCell ref="M214:N214"/>
    <mergeCell ref="K596:L596"/>
    <mergeCell ref="G319:H319"/>
    <mergeCell ref="K270:L270"/>
    <mergeCell ref="M28:N28"/>
    <mergeCell ref="I235:J235"/>
    <mergeCell ref="K297:L297"/>
    <mergeCell ref="M326:N326"/>
    <mergeCell ref="G477:H477"/>
    <mergeCell ref="I506:J506"/>
    <mergeCell ref="G14:H14"/>
    <mergeCell ref="I533:J533"/>
    <mergeCell ref="K568:L568"/>
    <mergeCell ref="B487:B488"/>
    <mergeCell ref="K299:L299"/>
    <mergeCell ref="M57:N57"/>
    <mergeCell ref="K570:L570"/>
    <mergeCell ref="K293:L293"/>
    <mergeCell ref="M355:N355"/>
    <mergeCell ref="K597:L597"/>
    <mergeCell ref="I78:J78"/>
    <mergeCell ref="E429:F429"/>
    <mergeCell ref="B73:B75"/>
    <mergeCell ref="E97:F97"/>
    <mergeCell ref="G159:H159"/>
    <mergeCell ref="E401:F401"/>
    <mergeCell ref="K599:L599"/>
    <mergeCell ref="M357:N357"/>
    <mergeCell ref="M240:N240"/>
    <mergeCell ref="K167:L167"/>
    <mergeCell ref="G72:H72"/>
    <mergeCell ref="G370:H370"/>
    <mergeCell ref="E272:F272"/>
    <mergeCell ref="M574:N574"/>
    <mergeCell ref="G161:H161"/>
    <mergeCell ref="M111:N111"/>
    <mergeCell ref="I217:J217"/>
    <mergeCell ref="E424:F424"/>
    <mergeCell ref="G459:H459"/>
    <mergeCell ref="M540:N540"/>
    <mergeCell ref="I136:J136"/>
    <mergeCell ref="I434:J434"/>
    <mergeCell ref="K192:L192"/>
    <mergeCell ref="I225:J225"/>
    <mergeCell ref="G461:H461"/>
    <mergeCell ref="M569:N569"/>
    <mergeCell ref="I436:J436"/>
    <mergeCell ref="K194:L194"/>
    <mergeCell ref="K492:L492"/>
    <mergeCell ref="G373:H373"/>
    <mergeCell ref="B45:B49"/>
    <mergeCell ref="I307:J307"/>
    <mergeCell ref="K494:L494"/>
    <mergeCell ref="B215:B217"/>
    <mergeCell ref="M556:N556"/>
    <mergeCell ref="K195:L195"/>
    <mergeCell ref="I431:J431"/>
    <mergeCell ref="E27:F27"/>
    <mergeCell ref="K493:L493"/>
    <mergeCell ref="E325:F325"/>
    <mergeCell ref="M558:N558"/>
    <mergeCell ref="E116:F116"/>
    <mergeCell ref="E414:F414"/>
    <mergeCell ref="E196:F196"/>
    <mergeCell ref="G91:H91"/>
    <mergeCell ref="E327:F327"/>
    <mergeCell ref="G85:H85"/>
    <mergeCell ref="A167:A168"/>
    <mergeCell ref="B210:B212"/>
    <mergeCell ref="M289:N289"/>
    <mergeCell ref="E625:F625"/>
    <mergeCell ref="G541:H541"/>
    <mergeCell ref="B544:B546"/>
    <mergeCell ref="E22:F22"/>
    <mergeCell ref="G84:H84"/>
    <mergeCell ref="I149:J149"/>
    <mergeCell ref="A474:A476"/>
    <mergeCell ref="I447:J447"/>
    <mergeCell ref="K205:L205"/>
    <mergeCell ref="I605:J605"/>
    <mergeCell ref="K363:L363"/>
    <mergeCell ref="Q286:R286"/>
    <mergeCell ref="G86:H86"/>
    <mergeCell ref="Q444:R444"/>
    <mergeCell ref="T445:U445"/>
    <mergeCell ref="I151:J151"/>
    <mergeCell ref="I449:J449"/>
    <mergeCell ref="E343:F343"/>
    <mergeCell ref="I607:J607"/>
    <mergeCell ref="K365:L365"/>
    <mergeCell ref="I144:J144"/>
    <mergeCell ref="E38:F38"/>
    <mergeCell ref="M315:N315"/>
    <mergeCell ref="M638:N638"/>
    <mergeCell ref="M429:N429"/>
    <mergeCell ref="K208:L208"/>
    <mergeCell ref="G559:H559"/>
    <mergeCell ref="E40:F40"/>
    <mergeCell ref="E338:F338"/>
    <mergeCell ref="M640:N640"/>
    <mergeCell ref="M183:N183"/>
    <mergeCell ref="E496:F496"/>
    <mergeCell ref="B140:B142"/>
    <mergeCell ref="A614:A616"/>
    <mergeCell ref="M335:N335"/>
    <mergeCell ref="I177:J177"/>
    <mergeCell ref="G104:H104"/>
    <mergeCell ref="A495:A496"/>
    <mergeCell ref="E340:F340"/>
    <mergeCell ref="I500:J500"/>
    <mergeCell ref="G560:H560"/>
    <mergeCell ref="K1:N1"/>
    <mergeCell ref="A68:A69"/>
    <mergeCell ref="T473:U473"/>
    <mergeCell ref="B598:B600"/>
    <mergeCell ref="M24:N24"/>
    <mergeCell ref="I231:J231"/>
    <mergeCell ref="K564:L564"/>
    <mergeCell ref="M322:N322"/>
    <mergeCell ref="I501:J501"/>
    <mergeCell ref="G99:H99"/>
    <mergeCell ref="B160:B161"/>
    <mergeCell ref="C631:D631"/>
    <mergeCell ref="M53:N53"/>
    <mergeCell ref="M324:N324"/>
    <mergeCell ref="K593:L593"/>
    <mergeCell ref="M351:N351"/>
    <mergeCell ref="M622:N622"/>
    <mergeCell ref="I74:J74"/>
    <mergeCell ref="M482:N482"/>
    <mergeCell ref="E68:F68"/>
    <mergeCell ref="G155:H155"/>
    <mergeCell ref="M55:N55"/>
    <mergeCell ref="M353:N353"/>
    <mergeCell ref="E427:F427"/>
    <mergeCell ref="B614:B616"/>
    <mergeCell ref="Q602:R602"/>
    <mergeCell ref="K290:L290"/>
    <mergeCell ref="M48:N48"/>
    <mergeCell ref="G157:H157"/>
    <mergeCell ref="M319:N319"/>
    <mergeCell ref="G455:H455"/>
    <mergeCell ref="A215:A217"/>
    <mergeCell ref="G430:H430"/>
    <mergeCell ref="M477:N477"/>
    <mergeCell ref="I547:J547"/>
    <mergeCell ref="Q604:R604"/>
    <mergeCell ref="M354:N354"/>
    <mergeCell ref="I221:J221"/>
    <mergeCell ref="G186:H186"/>
    <mergeCell ref="K321:L321"/>
    <mergeCell ref="I215:J215"/>
    <mergeCell ref="G457:H457"/>
    <mergeCell ref="G484:H484"/>
    <mergeCell ref="I557:J557"/>
    <mergeCell ref="A353:A357"/>
    <mergeCell ref="I549:J549"/>
    <mergeCell ref="G152:H152"/>
    <mergeCell ref="K323:L323"/>
    <mergeCell ref="M81:N81"/>
    <mergeCell ref="K8:L8"/>
    <mergeCell ref="K279:L279"/>
    <mergeCell ref="M37:N37"/>
    <mergeCell ref="M379:N379"/>
    <mergeCell ref="G486:H486"/>
    <mergeCell ref="I542:J542"/>
    <mergeCell ref="Q605:R605"/>
    <mergeCell ref="K621:L621"/>
    <mergeCell ref="I216:J216"/>
    <mergeCell ref="K623:L623"/>
    <mergeCell ref="K308:L308"/>
    <mergeCell ref="K606:L606"/>
    <mergeCell ref="K160:L160"/>
    <mergeCell ref="G54:H54"/>
    <mergeCell ref="M38:N38"/>
    <mergeCell ref="I245:J245"/>
    <mergeCell ref="E112:F112"/>
    <mergeCell ref="G212:H212"/>
    <mergeCell ref="K274:L274"/>
    <mergeCell ref="G510:H510"/>
    <mergeCell ref="A5:A12"/>
    <mergeCell ref="E404:F404"/>
    <mergeCell ref="G56:H56"/>
    <mergeCell ref="A145:A147"/>
    <mergeCell ref="E456:F456"/>
    <mergeCell ref="G214:H214"/>
    <mergeCell ref="I276:J276"/>
    <mergeCell ref="K34:L34"/>
    <mergeCell ref="K305:L305"/>
    <mergeCell ref="M338:N338"/>
    <mergeCell ref="E412:F412"/>
    <mergeCell ref="G468:H468"/>
    <mergeCell ref="G512:H512"/>
    <mergeCell ref="A561:A562"/>
    <mergeCell ref="B499:B500"/>
    <mergeCell ref="I278:J278"/>
    <mergeCell ref="K36:L36"/>
    <mergeCell ref="I234:J234"/>
    <mergeCell ref="K334:L334"/>
    <mergeCell ref="I576:J576"/>
    <mergeCell ref="I570:J570"/>
    <mergeCell ref="E293:F293"/>
    <mergeCell ref="I113:J113"/>
    <mergeCell ref="E138:F138"/>
    <mergeCell ref="C103:D103"/>
    <mergeCell ref="K300:L300"/>
    <mergeCell ref="B530:B531"/>
    <mergeCell ref="K361:L361"/>
    <mergeCell ref="K336:L336"/>
    <mergeCell ref="M94:N94"/>
    <mergeCell ref="K634:L634"/>
    <mergeCell ref="I115:J115"/>
    <mergeCell ref="E466:F466"/>
    <mergeCell ref="E9:F9"/>
    <mergeCell ref="E167:F167"/>
    <mergeCell ref="E438:F438"/>
    <mergeCell ref="G196:H196"/>
    <mergeCell ref="M425:N425"/>
    <mergeCell ref="M6:N6"/>
    <mergeCell ref="K204:L204"/>
    <mergeCell ref="E11:F11"/>
    <mergeCell ref="A160:A161"/>
    <mergeCell ref="E169:F169"/>
    <mergeCell ref="E467:F467"/>
    <mergeCell ref="G225:H225"/>
    <mergeCell ref="M427:N427"/>
    <mergeCell ref="E461:F461"/>
    <mergeCell ref="A322:A329"/>
    <mergeCell ref="M306:N306"/>
    <mergeCell ref="M420:N420"/>
    <mergeCell ref="A28:A29"/>
    <mergeCell ref="E469:F469"/>
    <mergeCell ref="G227:H227"/>
    <mergeCell ref="G444:H444"/>
    <mergeCell ref="I202:J202"/>
    <mergeCell ref="M451:N451"/>
    <mergeCell ref="K49:L49"/>
    <mergeCell ref="I614:J614"/>
    <mergeCell ref="I589:J589"/>
    <mergeCell ref="I168:J168"/>
    <mergeCell ref="E62:F62"/>
    <mergeCell ref="K266:L266"/>
    <mergeCell ref="M295:N295"/>
    <mergeCell ref="I502:J502"/>
    <mergeCell ref="E608:F608"/>
    <mergeCell ref="M453:N453"/>
    <mergeCell ref="K232:L232"/>
    <mergeCell ref="G97:H97"/>
    <mergeCell ref="I197:J197"/>
    <mergeCell ref="E64:F64"/>
    <mergeCell ref="E362:F362"/>
    <mergeCell ref="M148:N148"/>
    <mergeCell ref="M446:N446"/>
    <mergeCell ref="E153:F153"/>
    <mergeCell ref="E364:F364"/>
    <mergeCell ref="G426:H426"/>
    <mergeCell ref="I184:J184"/>
    <mergeCell ref="B28:B29"/>
    <mergeCell ref="M448:N448"/>
    <mergeCell ref="I342:J342"/>
    <mergeCell ref="E65:F65"/>
    <mergeCell ref="E363:F363"/>
    <mergeCell ref="G586:H586"/>
    <mergeCell ref="I344:J344"/>
    <mergeCell ref="I642:J642"/>
    <mergeCell ref="M593:N593"/>
    <mergeCell ref="C622:D622"/>
    <mergeCell ref="K408:L408"/>
    <mergeCell ref="M166:N166"/>
    <mergeCell ref="I644:J644"/>
    <mergeCell ref="K402:L402"/>
    <mergeCell ref="M464:N464"/>
    <mergeCell ref="G423:H423"/>
    <mergeCell ref="Q472:R472"/>
    <mergeCell ref="E75:F75"/>
    <mergeCell ref="M377:N377"/>
    <mergeCell ref="K619:L619"/>
    <mergeCell ref="B631:B632"/>
    <mergeCell ref="E233:F233"/>
    <mergeCell ref="E531:F531"/>
    <mergeCell ref="M466:N466"/>
    <mergeCell ref="G596:H596"/>
    <mergeCell ref="A530:A531"/>
    <mergeCell ref="E235:F235"/>
    <mergeCell ref="G297:H297"/>
    <mergeCell ref="E533:F533"/>
    <mergeCell ref="Q288:R288"/>
    <mergeCell ref="G508:H508"/>
    <mergeCell ref="G299:H299"/>
    <mergeCell ref="I57:J57"/>
    <mergeCell ref="G293:H293"/>
    <mergeCell ref="I355:J355"/>
    <mergeCell ref="G597:H597"/>
    <mergeCell ref="B495:B496"/>
    <mergeCell ref="K32:L32"/>
    <mergeCell ref="I268:J268"/>
    <mergeCell ref="I243:J243"/>
    <mergeCell ref="I572:J572"/>
    <mergeCell ref="I566:J566"/>
    <mergeCell ref="G599:H599"/>
    <mergeCell ref="I357:J357"/>
    <mergeCell ref="I574:J574"/>
    <mergeCell ref="K332:L332"/>
    <mergeCell ref="K630:L630"/>
    <mergeCell ref="I111:J111"/>
    <mergeCell ref="K421:L421"/>
    <mergeCell ref="K27:L27"/>
    <mergeCell ref="E551:F551"/>
    <mergeCell ref="G192:H192"/>
    <mergeCell ref="C399:D399"/>
    <mergeCell ref="K456:L456"/>
    <mergeCell ref="K632:L632"/>
    <mergeCell ref="A431:A432"/>
    <mergeCell ref="M91:N91"/>
    <mergeCell ref="I569:J569"/>
    <mergeCell ref="K327:L327"/>
    <mergeCell ref="G221:H221"/>
    <mergeCell ref="G492:H492"/>
    <mergeCell ref="M93:N93"/>
    <mergeCell ref="E465:F465"/>
    <mergeCell ref="K16:L16"/>
    <mergeCell ref="G223:H223"/>
    <mergeCell ref="I556:J556"/>
    <mergeCell ref="K472:L472"/>
    <mergeCell ref="K9:L9"/>
    <mergeCell ref="I287:J287"/>
    <mergeCell ref="K45:L45"/>
    <mergeCell ref="I281:J281"/>
    <mergeCell ref="K343:L343"/>
    <mergeCell ref="I585:J585"/>
    <mergeCell ref="K474:L474"/>
    <mergeCell ref="K11:L11"/>
    <mergeCell ref="B539:B540"/>
    <mergeCell ref="I411:J411"/>
    <mergeCell ref="K47:L47"/>
    <mergeCell ref="M109:N109"/>
    <mergeCell ref="K169:L169"/>
    <mergeCell ref="K345:L345"/>
    <mergeCell ref="E177:F177"/>
    <mergeCell ref="M538:N538"/>
    <mergeCell ref="E475:F475"/>
    <mergeCell ref="M532:N532"/>
    <mergeCell ref="K46:L46"/>
    <mergeCell ref="M75:N75"/>
    <mergeCell ref="K40:L40"/>
    <mergeCell ref="E149:F149"/>
    <mergeCell ref="B277:B279"/>
    <mergeCell ref="E176:F176"/>
    <mergeCell ref="I282:J282"/>
    <mergeCell ref="G205:H205"/>
    <mergeCell ref="M233:N233"/>
    <mergeCell ref="E447:F447"/>
    <mergeCell ref="M409:N409"/>
    <mergeCell ref="K469:L469"/>
    <mergeCell ref="M531:N531"/>
    <mergeCell ref="M15:N15"/>
    <mergeCell ref="G363:H363"/>
    <mergeCell ref="E605:F605"/>
    <mergeCell ref="G539:H539"/>
    <mergeCell ref="M444:N444"/>
    <mergeCell ref="M104:N104"/>
    <mergeCell ref="E178:F178"/>
    <mergeCell ref="K71:L71"/>
    <mergeCell ref="M235:N235"/>
    <mergeCell ref="E476:F476"/>
    <mergeCell ref="G234:H234"/>
    <mergeCell ref="M533:N533"/>
    <mergeCell ref="G549:H549"/>
    <mergeCell ref="E607:F607"/>
    <mergeCell ref="A631:A632"/>
    <mergeCell ref="E144:F144"/>
    <mergeCell ref="M106:N106"/>
    <mergeCell ref="I315:J315"/>
    <mergeCell ref="K73:L73"/>
    <mergeCell ref="M404:N404"/>
    <mergeCell ref="E478:F478"/>
    <mergeCell ref="K371:L371"/>
    <mergeCell ref="I613:J613"/>
    <mergeCell ref="A633:A634"/>
    <mergeCell ref="I638:J638"/>
    <mergeCell ref="I429:J429"/>
    <mergeCell ref="M162:N162"/>
    <mergeCell ref="I640:J640"/>
    <mergeCell ref="K398:L398"/>
    <mergeCell ref="M460:N460"/>
    <mergeCell ref="I300:J300"/>
    <mergeCell ref="A501:A502"/>
    <mergeCell ref="I335:J335"/>
    <mergeCell ref="C104:D104"/>
    <mergeCell ref="E204:F204"/>
    <mergeCell ref="B596:B597"/>
    <mergeCell ref="K399:L399"/>
    <mergeCell ref="M157:N157"/>
    <mergeCell ref="E231:F231"/>
    <mergeCell ref="E206:F206"/>
    <mergeCell ref="B418:B420"/>
    <mergeCell ref="E504:F504"/>
    <mergeCell ref="B464:B465"/>
    <mergeCell ref="A482:A484"/>
    <mergeCell ref="C99:D99"/>
    <mergeCell ref="M457:N457"/>
    <mergeCell ref="I53:J53"/>
    <mergeCell ref="I28:J28"/>
    <mergeCell ref="E506:F506"/>
    <mergeCell ref="I351:J351"/>
    <mergeCell ref="I326:J326"/>
    <mergeCell ref="E74:F74"/>
    <mergeCell ref="G593:H593"/>
    <mergeCell ref="A101:A102"/>
    <mergeCell ref="M30:N30"/>
    <mergeCell ref="I55:J55"/>
    <mergeCell ref="I353:J353"/>
    <mergeCell ref="A231:A232"/>
    <mergeCell ref="M602:N602"/>
    <mergeCell ref="G290:H290"/>
    <mergeCell ref="I48:J48"/>
    <mergeCell ref="M61:N61"/>
    <mergeCell ref="M490:N490"/>
    <mergeCell ref="K417:L417"/>
    <mergeCell ref="M175:N175"/>
    <mergeCell ref="K427:L427"/>
    <mergeCell ref="M185:N185"/>
    <mergeCell ref="K112:L112"/>
    <mergeCell ref="I354:J354"/>
    <mergeCell ref="G321:H321"/>
    <mergeCell ref="M483:N483"/>
    <mergeCell ref="E557:F557"/>
    <mergeCell ref="E242:F242"/>
    <mergeCell ref="E217:F217"/>
    <mergeCell ref="M475:N475"/>
    <mergeCell ref="K298:L298"/>
    <mergeCell ref="M56:N56"/>
    <mergeCell ref="B342:B344"/>
    <mergeCell ref="A241:A242"/>
    <mergeCell ref="M176:N176"/>
    <mergeCell ref="I81:J81"/>
    <mergeCell ref="K412:L412"/>
    <mergeCell ref="G621:H621"/>
    <mergeCell ref="I379:J379"/>
    <mergeCell ref="B223:B224"/>
    <mergeCell ref="E542:F542"/>
    <mergeCell ref="G194:H194"/>
    <mergeCell ref="A243:A244"/>
    <mergeCell ref="G316:H316"/>
    <mergeCell ref="G623:H623"/>
    <mergeCell ref="K443:L443"/>
    <mergeCell ref="M201:N201"/>
    <mergeCell ref="T466:U466"/>
    <mergeCell ref="G606:H606"/>
    <mergeCell ref="G160:H160"/>
    <mergeCell ref="E87:F87"/>
    <mergeCell ref="I76:J76"/>
    <mergeCell ref="K138:L138"/>
    <mergeCell ref="G494:H494"/>
    <mergeCell ref="K445:L445"/>
    <mergeCell ref="A113:A114"/>
    <mergeCell ref="M203:N203"/>
    <mergeCell ref="G189:H189"/>
    <mergeCell ref="E276:F276"/>
    <mergeCell ref="G34:H34"/>
    <mergeCell ref="M196:N196"/>
    <mergeCell ref="E270:F270"/>
    <mergeCell ref="K438:L438"/>
    <mergeCell ref="E568:F568"/>
    <mergeCell ref="B241:B242"/>
    <mergeCell ref="K465:L465"/>
    <mergeCell ref="E576:F576"/>
    <mergeCell ref="G334:H334"/>
    <mergeCell ref="E570:F570"/>
    <mergeCell ref="E113:F113"/>
    <mergeCell ref="M100:N100"/>
    <mergeCell ref="M231:N231"/>
    <mergeCell ref="K496:L496"/>
    <mergeCell ref="G336:H336"/>
    <mergeCell ref="I94:J94"/>
    <mergeCell ref="A221:A225"/>
    <mergeCell ref="G634:H634"/>
    <mergeCell ref="E115:F115"/>
    <mergeCell ref="M102:N102"/>
    <mergeCell ref="M343:N343"/>
    <mergeCell ref="A454:A461"/>
    <mergeCell ref="K69:L69"/>
    <mergeCell ref="K367:L367"/>
    <mergeCell ref="K498:L498"/>
    <mergeCell ref="I425:J425"/>
    <mergeCell ref="K158:L158"/>
    <mergeCell ref="I6:J6"/>
    <mergeCell ref="I304:J304"/>
    <mergeCell ref="B292:B293"/>
    <mergeCell ref="K369:L369"/>
    <mergeCell ref="I427:J427"/>
    <mergeCell ref="K489:L489"/>
    <mergeCell ref="M247:N247"/>
    <mergeCell ref="I306:J306"/>
    <mergeCell ref="G233:H233"/>
    <mergeCell ref="K64:L64"/>
    <mergeCell ref="E200:F200"/>
    <mergeCell ref="B83:B85"/>
    <mergeCell ref="B592:B593"/>
    <mergeCell ref="M433:N433"/>
    <mergeCell ref="M555:N555"/>
    <mergeCell ref="M591:N591"/>
    <mergeCell ref="K72:L72"/>
    <mergeCell ref="M547:N547"/>
    <mergeCell ref="E202:F202"/>
    <mergeCell ref="K364:L364"/>
    <mergeCell ref="M426:N426"/>
    <mergeCell ref="E500:F500"/>
    <mergeCell ref="M557:N557"/>
    <mergeCell ref="K484:L484"/>
    <mergeCell ref="G556:H556"/>
    <mergeCell ref="I451:J451"/>
    <mergeCell ref="E291:F291"/>
    <mergeCell ref="G49:H49"/>
    <mergeCell ref="A641:A642"/>
    <mergeCell ref="A50:A57"/>
    <mergeCell ref="I24:J24"/>
    <mergeCell ref="G266:H266"/>
    <mergeCell ref="M428:N428"/>
    <mergeCell ref="I322:J322"/>
    <mergeCell ref="E502:F502"/>
    <mergeCell ref="G558:H558"/>
    <mergeCell ref="G564:H564"/>
    <mergeCell ref="E624:F624"/>
    <mergeCell ref="K211:L211"/>
    <mergeCell ref="K509:L509"/>
    <mergeCell ref="E197:F197"/>
    <mergeCell ref="I17:J17"/>
    <mergeCell ref="I148:J148"/>
    <mergeCell ref="I324:J324"/>
    <mergeCell ref="K82:L82"/>
    <mergeCell ref="I446:J446"/>
    <mergeCell ref="I622:J622"/>
    <mergeCell ref="I482:J482"/>
    <mergeCell ref="K511:L511"/>
    <mergeCell ref="I19:J19"/>
    <mergeCell ref="E184:F184"/>
    <mergeCell ref="K212:L212"/>
    <mergeCell ref="I448:J448"/>
    <mergeCell ref="K206:L206"/>
    <mergeCell ref="M146:N146"/>
    <mergeCell ref="K510:L510"/>
    <mergeCell ref="E342:F342"/>
    <mergeCell ref="M575:N575"/>
    <mergeCell ref="K540:L540"/>
    <mergeCell ref="M181:N181"/>
    <mergeCell ref="K83:L83"/>
    <mergeCell ref="I319:J319"/>
    <mergeCell ref="K214:L214"/>
    <mergeCell ref="B307:B308"/>
    <mergeCell ref="E213:F213"/>
    <mergeCell ref="B314:B316"/>
    <mergeCell ref="M270:N270"/>
    <mergeCell ref="B429:B430"/>
    <mergeCell ref="E344:F344"/>
    <mergeCell ref="K506:L506"/>
    <mergeCell ref="K512:L512"/>
    <mergeCell ref="M568:N568"/>
    <mergeCell ref="M52:N52"/>
    <mergeCell ref="G400:H400"/>
    <mergeCell ref="E642:F642"/>
    <mergeCell ref="B2:B3"/>
    <mergeCell ref="M604:N604"/>
    <mergeCell ref="M481:N481"/>
    <mergeCell ref="E39:F39"/>
    <mergeCell ref="B431:B432"/>
    <mergeCell ref="E215:F215"/>
    <mergeCell ref="E337:F337"/>
    <mergeCell ref="A70:A77"/>
    <mergeCell ref="E373:F373"/>
    <mergeCell ref="M570:N570"/>
    <mergeCell ref="G402:H402"/>
    <mergeCell ref="I464:J464"/>
    <mergeCell ref="E644:F644"/>
    <mergeCell ref="Q303:R303"/>
    <mergeCell ref="G103:H103"/>
    <mergeCell ref="I377:J377"/>
    <mergeCell ref="E339:F339"/>
    <mergeCell ref="G401:H401"/>
    <mergeCell ref="I37:J37"/>
    <mergeCell ref="I159:J159"/>
    <mergeCell ref="K439:L439"/>
    <mergeCell ref="G619:H619"/>
    <mergeCell ref="I466:J466"/>
    <mergeCell ref="K224:L224"/>
    <mergeCell ref="B633:B634"/>
    <mergeCell ref="C596:D596"/>
    <mergeCell ref="A418:A423"/>
    <mergeCell ref="G403:H403"/>
    <mergeCell ref="I161:J161"/>
    <mergeCell ref="K441:L441"/>
    <mergeCell ref="Q603:R603"/>
    <mergeCell ref="B454:B456"/>
    <mergeCell ref="M288:N288"/>
    <mergeCell ref="K136:L136"/>
    <mergeCell ref="K434:L434"/>
    <mergeCell ref="K225:L225"/>
    <mergeCell ref="M499:N499"/>
    <mergeCell ref="I461:J461"/>
    <mergeCell ref="E57:F57"/>
    <mergeCell ref="C597:D597"/>
    <mergeCell ref="K7:L7"/>
    <mergeCell ref="E355:F355"/>
    <mergeCell ref="M200:N200"/>
    <mergeCell ref="K436:L436"/>
    <mergeCell ref="B157:B159"/>
    <mergeCell ref="M194:N194"/>
    <mergeCell ref="G32:H32"/>
    <mergeCell ref="E243:F243"/>
    <mergeCell ref="E268:F268"/>
    <mergeCell ref="I63:J63"/>
    <mergeCell ref="E566:F566"/>
    <mergeCell ref="E572:F572"/>
    <mergeCell ref="M71:N71"/>
    <mergeCell ref="M202:N202"/>
    <mergeCell ref="E574:F574"/>
    <mergeCell ref="G332:H332"/>
    <mergeCell ref="I90:J90"/>
    <mergeCell ref="B457:B459"/>
    <mergeCell ref="M494:N494"/>
    <mergeCell ref="G630:H630"/>
    <mergeCell ref="G421:H421"/>
    <mergeCell ref="G27:H27"/>
    <mergeCell ref="K154:L154"/>
    <mergeCell ref="G632:H632"/>
    <mergeCell ref="E140:F140"/>
    <mergeCell ref="I548:J548"/>
    <mergeCell ref="M639:N639"/>
    <mergeCell ref="I91:J91"/>
    <mergeCell ref="E569:F569"/>
    <mergeCell ref="G327:H327"/>
    <mergeCell ref="I85:J85"/>
    <mergeCell ref="K454:L454"/>
    <mergeCell ref="K612:L612"/>
    <mergeCell ref="M370:N370"/>
    <mergeCell ref="I93:J93"/>
    <mergeCell ref="K149:L149"/>
    <mergeCell ref="B379:B380"/>
    <mergeCell ref="K605:L605"/>
    <mergeCell ref="G472:H472"/>
    <mergeCell ref="M553:N553"/>
    <mergeCell ref="K151:L151"/>
    <mergeCell ref="M213:N213"/>
    <mergeCell ref="E287:F287"/>
    <mergeCell ref="G45:H45"/>
    <mergeCell ref="K449:L449"/>
    <mergeCell ref="E281:F281"/>
    <mergeCell ref="G343:H343"/>
    <mergeCell ref="E585:F585"/>
    <mergeCell ref="K607:L607"/>
    <mergeCell ref="G501:H501"/>
    <mergeCell ref="B76:B77"/>
    <mergeCell ref="G55:H55"/>
    <mergeCell ref="I530:J530"/>
    <mergeCell ref="G47:H47"/>
    <mergeCell ref="I109:J109"/>
    <mergeCell ref="B172:B174"/>
    <mergeCell ref="G345:H345"/>
    <mergeCell ref="G467:H467"/>
    <mergeCell ref="G46:H46"/>
    <mergeCell ref="E282:F282"/>
    <mergeCell ref="K175:L175"/>
    <mergeCell ref="G40:H40"/>
    <mergeCell ref="I531:J531"/>
    <mergeCell ref="C363:D363"/>
    <mergeCell ref="I444:J444"/>
    <mergeCell ref="I419:J419"/>
    <mergeCell ref="K177:L177"/>
    <mergeCell ref="I104:J104"/>
    <mergeCell ref="E313:F313"/>
    <mergeCell ref="G71:H71"/>
    <mergeCell ref="K475:L475"/>
    <mergeCell ref="K536:L536"/>
    <mergeCell ref="E8:F8"/>
    <mergeCell ref="K508:L508"/>
    <mergeCell ref="M266:N266"/>
    <mergeCell ref="I106:J106"/>
    <mergeCell ref="M241:N241"/>
    <mergeCell ref="K502:L502"/>
    <mergeCell ref="M539:N539"/>
    <mergeCell ref="M564:N564"/>
    <mergeCell ref="E613:F613"/>
    <mergeCell ref="G371:H371"/>
    <mergeCell ref="M600:N600"/>
    <mergeCell ref="K81:L81"/>
    <mergeCell ref="E308:F308"/>
    <mergeCell ref="M268:N268"/>
    <mergeCell ref="M566:N566"/>
    <mergeCell ref="E335:F335"/>
    <mergeCell ref="G68:H68"/>
    <mergeCell ref="I155:J155"/>
    <mergeCell ref="G427:H427"/>
    <mergeCell ref="B581:B583"/>
    <mergeCell ref="G399:H399"/>
    <mergeCell ref="I157:J157"/>
    <mergeCell ref="I193:J193"/>
    <mergeCell ref="G213:H213"/>
    <mergeCell ref="K101:L101"/>
    <mergeCell ref="G270:H270"/>
    <mergeCell ref="K221:L221"/>
    <mergeCell ref="M321:N321"/>
    <mergeCell ref="I457:J457"/>
    <mergeCell ref="E53:F53"/>
    <mergeCell ref="K215:L215"/>
    <mergeCell ref="Q302:R302"/>
    <mergeCell ref="E326:F326"/>
    <mergeCell ref="M628:N628"/>
    <mergeCell ref="I30:J30"/>
    <mergeCell ref="K92:L92"/>
    <mergeCell ref="E361:F361"/>
    <mergeCell ref="K223:L223"/>
    <mergeCell ref="M323:N323"/>
    <mergeCell ref="E55:F55"/>
    <mergeCell ref="M279:N279"/>
    <mergeCell ref="M621:N621"/>
    <mergeCell ref="E353:F353"/>
    <mergeCell ref="I488:J488"/>
    <mergeCell ref="B11:B12"/>
    <mergeCell ref="G425:H425"/>
    <mergeCell ref="E48:F48"/>
    <mergeCell ref="I61:J61"/>
    <mergeCell ref="I183:J183"/>
    <mergeCell ref="A379:A380"/>
    <mergeCell ref="M281:N281"/>
    <mergeCell ref="M623:N623"/>
    <mergeCell ref="Q443:R443"/>
    <mergeCell ref="K248:L248"/>
    <mergeCell ref="I175:J175"/>
    <mergeCell ref="G417:H417"/>
    <mergeCell ref="I490:J490"/>
    <mergeCell ref="I54:J54"/>
    <mergeCell ref="A345:A346"/>
    <mergeCell ref="I185:J185"/>
    <mergeCell ref="G112:H112"/>
    <mergeCell ref="I212:J212"/>
    <mergeCell ref="K247:L247"/>
    <mergeCell ref="B482:B484"/>
    <mergeCell ref="I483:J483"/>
    <mergeCell ref="Q470:R470"/>
    <mergeCell ref="Q445:R445"/>
    <mergeCell ref="A503:A504"/>
    <mergeCell ref="K277:L277"/>
    <mergeCell ref="B143:B144"/>
    <mergeCell ref="A286:A291"/>
    <mergeCell ref="I475:J475"/>
    <mergeCell ref="K581:L581"/>
    <mergeCell ref="G298:H298"/>
    <mergeCell ref="I56:J56"/>
    <mergeCell ref="M610:N610"/>
    <mergeCell ref="M13:N13"/>
    <mergeCell ref="M7:N7"/>
    <mergeCell ref="I176:J176"/>
    <mergeCell ref="K243:L243"/>
    <mergeCell ref="M305:N305"/>
    <mergeCell ref="G412:H412"/>
    <mergeCell ref="E379:F379"/>
    <mergeCell ref="K547:L547"/>
    <mergeCell ref="M341:N341"/>
    <mergeCell ref="K577:L577"/>
    <mergeCell ref="B472:B473"/>
    <mergeCell ref="K549:L549"/>
    <mergeCell ref="M307:N307"/>
    <mergeCell ref="E110:F110"/>
    <mergeCell ref="G443:H443"/>
    <mergeCell ref="I201:J201"/>
    <mergeCell ref="M641:N641"/>
    <mergeCell ref="E76:F76"/>
    <mergeCell ref="G16:H16"/>
    <mergeCell ref="G138:H138"/>
    <mergeCell ref="E380:F380"/>
    <mergeCell ref="E410:F410"/>
    <mergeCell ref="G9:H9"/>
    <mergeCell ref="G140:H140"/>
    <mergeCell ref="B466:B468"/>
    <mergeCell ref="G438:H438"/>
    <mergeCell ref="I196:J196"/>
    <mergeCell ref="G474:H474"/>
    <mergeCell ref="I232:J232"/>
    <mergeCell ref="G11:H11"/>
    <mergeCell ref="A565:A572"/>
    <mergeCell ref="K419:L419"/>
    <mergeCell ref="I204:J204"/>
    <mergeCell ref="G440:H440"/>
    <mergeCell ref="E92:F92"/>
    <mergeCell ref="I532:J532"/>
    <mergeCell ref="K173:L173"/>
    <mergeCell ref="E94:F94"/>
    <mergeCell ref="K44:L44"/>
    <mergeCell ref="M237:N237"/>
    <mergeCell ref="E311:F311"/>
    <mergeCell ref="G69:H69"/>
    <mergeCell ref="K473:L473"/>
    <mergeCell ref="G367:H367"/>
    <mergeCell ref="A66:N66"/>
    <mergeCell ref="B492:B494"/>
    <mergeCell ref="E6:F6"/>
    <mergeCell ref="B398:B399"/>
    <mergeCell ref="E304:F304"/>
    <mergeCell ref="M239:N239"/>
    <mergeCell ref="M537:N537"/>
    <mergeCell ref="E95:F95"/>
    <mergeCell ref="G369:H369"/>
    <mergeCell ref="E611:F611"/>
    <mergeCell ref="E89:F89"/>
    <mergeCell ref="K347:L347"/>
    <mergeCell ref="A45:A49"/>
    <mergeCell ref="E306:F306"/>
    <mergeCell ref="G64:H64"/>
    <mergeCell ref="G368:H368"/>
    <mergeCell ref="I433:J433"/>
    <mergeCell ref="K191:L191"/>
    <mergeCell ref="G153:H153"/>
    <mergeCell ref="G364:H364"/>
    <mergeCell ref="I426:J426"/>
    <mergeCell ref="K184:L184"/>
    <mergeCell ref="A190:A197"/>
    <mergeCell ref="K342:L342"/>
    <mergeCell ref="B109:B110"/>
    <mergeCell ref="M407:N407"/>
    <mergeCell ref="C266:D266"/>
    <mergeCell ref="E24:F24"/>
    <mergeCell ref="I428:J428"/>
    <mergeCell ref="E322:F322"/>
    <mergeCell ref="B205:B207"/>
    <mergeCell ref="I586:J586"/>
    <mergeCell ref="K344:L344"/>
    <mergeCell ref="B111:B112"/>
    <mergeCell ref="E17:F17"/>
    <mergeCell ref="E324:F324"/>
    <mergeCell ref="G82:H82"/>
    <mergeCell ref="M110:N110"/>
    <mergeCell ref="E622:F622"/>
    <mergeCell ref="M408:N408"/>
    <mergeCell ref="E482:F482"/>
    <mergeCell ref="G240:H240"/>
    <mergeCell ref="M402:N402"/>
    <mergeCell ref="K644:L644"/>
    <mergeCell ref="G538:H538"/>
    <mergeCell ref="E19:F19"/>
    <mergeCell ref="M619:N619"/>
    <mergeCell ref="I146:J146"/>
    <mergeCell ref="M410:N410"/>
    <mergeCell ref="A464:A465"/>
    <mergeCell ref="G540:H540"/>
    <mergeCell ref="I602:J602"/>
    <mergeCell ref="I181:J181"/>
    <mergeCell ref="G83:H83"/>
    <mergeCell ref="I479:J479"/>
    <mergeCell ref="E319:F319"/>
    <mergeCell ref="Q441:R441"/>
    <mergeCell ref="E477:F477"/>
    <mergeCell ref="G235:H235"/>
    <mergeCell ref="I297:J297"/>
    <mergeCell ref="K326:L326"/>
    <mergeCell ref="B556:B557"/>
    <mergeCell ref="I604:J604"/>
    <mergeCell ref="K362:L362"/>
    <mergeCell ref="K245:L245"/>
    <mergeCell ref="M3:N3"/>
    <mergeCell ref="M301:N301"/>
    <mergeCell ref="K579:L579"/>
    <mergeCell ref="M337:N337"/>
    <mergeCell ref="I299:J299"/>
    <mergeCell ref="K573:L573"/>
    <mergeCell ref="A624:A626"/>
    <mergeCell ref="I597:J597"/>
    <mergeCell ref="M635:N635"/>
    <mergeCell ref="E464:F464"/>
    <mergeCell ref="M309:N309"/>
    <mergeCell ref="M32:N32"/>
    <mergeCell ref="M303:N303"/>
    <mergeCell ref="K572:L572"/>
    <mergeCell ref="M601:N601"/>
    <mergeCell ref="E37:F37"/>
    <mergeCell ref="E159:F159"/>
    <mergeCell ref="M637:N637"/>
    <mergeCell ref="I599:J599"/>
    <mergeCell ref="E493:F493"/>
    <mergeCell ref="E47:F47"/>
    <mergeCell ref="B137:B139"/>
    <mergeCell ref="K574:L574"/>
    <mergeCell ref="M332:N332"/>
    <mergeCell ref="M603:N603"/>
    <mergeCell ref="E406:F406"/>
    <mergeCell ref="B289:B291"/>
    <mergeCell ref="B43:B44"/>
    <mergeCell ref="E459:F459"/>
    <mergeCell ref="P9:S10"/>
    <mergeCell ref="M304:N304"/>
    <mergeCell ref="G136:H136"/>
    <mergeCell ref="G434:H434"/>
    <mergeCell ref="G470:H470"/>
    <mergeCell ref="I228:J228"/>
    <mergeCell ref="M632:N632"/>
    <mergeCell ref="A398:A399"/>
    <mergeCell ref="I200:J200"/>
    <mergeCell ref="G436:H436"/>
    <mergeCell ref="I194:J194"/>
    <mergeCell ref="E63:F63"/>
    <mergeCell ref="K292:L292"/>
    <mergeCell ref="I71:J71"/>
    <mergeCell ref="G465:H465"/>
    <mergeCell ref="M16:N16"/>
    <mergeCell ref="I223:J223"/>
    <mergeCell ref="I494:J494"/>
    <mergeCell ref="K556:L556"/>
    <mergeCell ref="K592:L592"/>
    <mergeCell ref="M350:N350"/>
    <mergeCell ref="M472:N472"/>
    <mergeCell ref="B190:B192"/>
    <mergeCell ref="M18:N18"/>
    <mergeCell ref="K287:L287"/>
    <mergeCell ref="B8:B10"/>
    <mergeCell ref="M45:N45"/>
    <mergeCell ref="C361:D361"/>
    <mergeCell ref="B511:B512"/>
    <mergeCell ref="K558:L558"/>
    <mergeCell ref="M352:N352"/>
    <mergeCell ref="M474:N474"/>
    <mergeCell ref="E548:F548"/>
    <mergeCell ref="M17:N17"/>
    <mergeCell ref="E91:F91"/>
    <mergeCell ref="E85:F85"/>
    <mergeCell ref="Q601:R601"/>
    <mergeCell ref="K289:L289"/>
    <mergeCell ref="M47:N47"/>
    <mergeCell ref="A660:N660"/>
    <mergeCell ref="K587:L587"/>
    <mergeCell ref="G183:H183"/>
    <mergeCell ref="M345:N345"/>
    <mergeCell ref="E419:F419"/>
    <mergeCell ref="B606:B608"/>
    <mergeCell ref="B56:B57"/>
    <mergeCell ref="G612:H612"/>
    <mergeCell ref="M19:N19"/>
    <mergeCell ref="A111:A112"/>
    <mergeCell ref="E93:F93"/>
    <mergeCell ref="G193:H193"/>
    <mergeCell ref="I370:J370"/>
    <mergeCell ref="K13:L13"/>
    <mergeCell ref="G149:H149"/>
    <mergeCell ref="G185:H185"/>
    <mergeCell ref="G483:H483"/>
    <mergeCell ref="M376:N376"/>
    <mergeCell ref="G605:H605"/>
    <mergeCell ref="K15:L15"/>
    <mergeCell ref="G151:H151"/>
    <mergeCell ref="M44:N44"/>
    <mergeCell ref="G178:H178"/>
    <mergeCell ref="I213:J213"/>
    <mergeCell ref="K313:L313"/>
    <mergeCell ref="E420:F420"/>
    <mergeCell ref="E416:F416"/>
    <mergeCell ref="G449:H449"/>
    <mergeCell ref="G607:H607"/>
    <mergeCell ref="M378:N378"/>
    <mergeCell ref="K620:L620"/>
    <mergeCell ref="K315:L315"/>
    <mergeCell ref="M73:N73"/>
    <mergeCell ref="I242:J242"/>
    <mergeCell ref="E147:F147"/>
    <mergeCell ref="G209:H209"/>
    <mergeCell ref="M371:N371"/>
    <mergeCell ref="E445:F445"/>
    <mergeCell ref="E451:F451"/>
    <mergeCell ref="A556:A557"/>
    <mergeCell ref="K613:L613"/>
    <mergeCell ref="G638:H638"/>
    <mergeCell ref="B196:B197"/>
    <mergeCell ref="G175:H175"/>
    <mergeCell ref="K640:L640"/>
    <mergeCell ref="K615:L615"/>
    <mergeCell ref="G509:H509"/>
    <mergeCell ref="G177:H177"/>
    <mergeCell ref="E104:F104"/>
    <mergeCell ref="G204:H204"/>
    <mergeCell ref="M406:N406"/>
    <mergeCell ref="G475:H475"/>
    <mergeCell ref="G511:H511"/>
    <mergeCell ref="I269:J269"/>
    <mergeCell ref="I241:J241"/>
    <mergeCell ref="I539:J539"/>
    <mergeCell ref="I600:J600"/>
    <mergeCell ref="M63:N63"/>
    <mergeCell ref="K360:L360"/>
    <mergeCell ref="M422:N422"/>
    <mergeCell ref="K482:L482"/>
    <mergeCell ref="E587:F587"/>
    <mergeCell ref="C68:D68"/>
    <mergeCell ref="M432:N432"/>
    <mergeCell ref="A550:A555"/>
    <mergeCell ref="K353:L353"/>
    <mergeCell ref="G562:H562"/>
    <mergeCell ref="E489:F489"/>
    <mergeCell ref="E160:F160"/>
    <mergeCell ref="M546:N546"/>
    <mergeCell ref="B565:B567"/>
    <mergeCell ref="M5:N5"/>
    <mergeCell ref="B177:B181"/>
    <mergeCell ref="I409:J409"/>
    <mergeCell ref="E430:F430"/>
    <mergeCell ref="A132:N132"/>
    <mergeCell ref="M417:N417"/>
    <mergeCell ref="E491:F491"/>
    <mergeCell ref="I626:J626"/>
    <mergeCell ref="G224:H224"/>
    <mergeCell ref="G101:H101"/>
    <mergeCell ref="I321:J321"/>
    <mergeCell ref="M419:N419"/>
    <mergeCell ref="I313:J313"/>
    <mergeCell ref="I165:J165"/>
    <mergeCell ref="E59:F59"/>
    <mergeCell ref="I323:J323"/>
    <mergeCell ref="I621:J621"/>
    <mergeCell ref="B609:B610"/>
    <mergeCell ref="E61:F61"/>
    <mergeCell ref="E359:F359"/>
    <mergeCell ref="M145:N145"/>
    <mergeCell ref="I623:J623"/>
    <mergeCell ref="M443:N443"/>
    <mergeCell ref="E54:F54"/>
    <mergeCell ref="E212:F212"/>
    <mergeCell ref="B604:B605"/>
    <mergeCell ref="M147:N147"/>
    <mergeCell ref="M470:N470"/>
    <mergeCell ref="M445:N445"/>
    <mergeCell ref="G277:H277"/>
    <mergeCell ref="G581:H581"/>
    <mergeCell ref="G575:H575"/>
    <mergeCell ref="E56:F56"/>
    <mergeCell ref="A401:A408"/>
    <mergeCell ref="E214:F214"/>
    <mergeCell ref="G276:H276"/>
    <mergeCell ref="I34:J34"/>
    <mergeCell ref="B304:B306"/>
    <mergeCell ref="E512:F512"/>
    <mergeCell ref="G577:H577"/>
    <mergeCell ref="I639:J639"/>
    <mergeCell ref="G278:H278"/>
    <mergeCell ref="I36:J36"/>
    <mergeCell ref="G576:H576"/>
    <mergeCell ref="I334:J334"/>
    <mergeCell ref="I641:J641"/>
    <mergeCell ref="K100:L100"/>
    <mergeCell ref="G578:H578"/>
    <mergeCell ref="I336:J336"/>
    <mergeCell ref="K94:L94"/>
    <mergeCell ref="E230:F230"/>
    <mergeCell ref="K311:L311"/>
    <mergeCell ref="M367:N367"/>
    <mergeCell ref="K102:L102"/>
    <mergeCell ref="M498:N498"/>
    <mergeCell ref="K425:L425"/>
    <mergeCell ref="K400:L400"/>
    <mergeCell ref="M158:N158"/>
    <mergeCell ref="E232:F232"/>
    <mergeCell ref="A350:A352"/>
    <mergeCell ref="E530:F530"/>
    <mergeCell ref="M77:N77"/>
    <mergeCell ref="M375:N375"/>
    <mergeCell ref="G419:H419"/>
    <mergeCell ref="K611:L611"/>
    <mergeCell ref="G207:H207"/>
    <mergeCell ref="M369:N369"/>
    <mergeCell ref="G505:H505"/>
    <mergeCell ref="E225:F225"/>
    <mergeCell ref="M489:N489"/>
    <mergeCell ref="M160:N160"/>
    <mergeCell ref="E532:F532"/>
    <mergeCell ref="B221:B222"/>
    <mergeCell ref="G200:H200"/>
    <mergeCell ref="K246:L246"/>
    <mergeCell ref="K539:L539"/>
    <mergeCell ref="G507:H507"/>
    <mergeCell ref="E227:F227"/>
    <mergeCell ref="I563:J563"/>
    <mergeCell ref="M72:N72"/>
    <mergeCell ref="E444:F444"/>
    <mergeCell ref="G202:H202"/>
    <mergeCell ref="K329:L329"/>
    <mergeCell ref="M87:N87"/>
    <mergeCell ref="G291:H291"/>
    <mergeCell ref="K451:L451"/>
    <mergeCell ref="I565:J565"/>
    <mergeCell ref="G589:H589"/>
    <mergeCell ref="K627:L627"/>
    <mergeCell ref="M59:N59"/>
    <mergeCell ref="K24:L24"/>
    <mergeCell ref="I266:J266"/>
    <mergeCell ref="C98:D98"/>
    <mergeCell ref="K295:L295"/>
    <mergeCell ref="K322:L322"/>
    <mergeCell ref="G502:H502"/>
    <mergeCell ref="I564:J564"/>
    <mergeCell ref="K453:L453"/>
    <mergeCell ref="K113:L113"/>
    <mergeCell ref="G347:H347"/>
    <mergeCell ref="K629:L629"/>
    <mergeCell ref="C368:D368"/>
    <mergeCell ref="B247:B248"/>
    <mergeCell ref="K26:L26"/>
    <mergeCell ref="M88:N88"/>
    <mergeCell ref="M359:N359"/>
    <mergeCell ref="K324:L324"/>
    <mergeCell ref="M82:N82"/>
    <mergeCell ref="M219:N219"/>
    <mergeCell ref="E156:F156"/>
    <mergeCell ref="C398:D398"/>
    <mergeCell ref="E460:F460"/>
    <mergeCell ref="M511:N511"/>
    <mergeCell ref="M54:N54"/>
    <mergeCell ref="A169:A176"/>
    <mergeCell ref="E155:F155"/>
    <mergeCell ref="C364:D364"/>
    <mergeCell ref="M90:N90"/>
    <mergeCell ref="G184:H184"/>
    <mergeCell ref="E426:F426"/>
    <mergeCell ref="G220:H220"/>
    <mergeCell ref="G342:H342"/>
    <mergeCell ref="P405:S406"/>
    <mergeCell ref="I407:J407"/>
    <mergeCell ref="E157:F157"/>
    <mergeCell ref="E428:F428"/>
    <mergeCell ref="E586:F586"/>
    <mergeCell ref="G222:H222"/>
    <mergeCell ref="I284:J284"/>
    <mergeCell ref="K42:L42"/>
    <mergeCell ref="G344:H344"/>
    <mergeCell ref="B401:B403"/>
    <mergeCell ref="G642:H642"/>
    <mergeCell ref="M85:N85"/>
    <mergeCell ref="A277:A279"/>
    <mergeCell ref="E457:F457"/>
    <mergeCell ref="G215:H215"/>
    <mergeCell ref="I617:J617"/>
    <mergeCell ref="I110:J110"/>
    <mergeCell ref="I408:J408"/>
    <mergeCell ref="K166:L166"/>
    <mergeCell ref="G644:H644"/>
    <mergeCell ref="I402:J402"/>
    <mergeCell ref="K464:L464"/>
    <mergeCell ref="M141:N141"/>
    <mergeCell ref="I619:J619"/>
    <mergeCell ref="K377:L377"/>
    <mergeCell ref="B91:B92"/>
    <mergeCell ref="I279:J279"/>
    <mergeCell ref="K37:L37"/>
    <mergeCell ref="E146:F146"/>
    <mergeCell ref="M439:N439"/>
    <mergeCell ref="I410:J410"/>
    <mergeCell ref="K168:L168"/>
    <mergeCell ref="M230:N230"/>
    <mergeCell ref="K466:L466"/>
    <mergeCell ref="M224:N224"/>
    <mergeCell ref="E298:F298"/>
    <mergeCell ref="E602:F602"/>
    <mergeCell ref="E596:F596"/>
    <mergeCell ref="M143:N143"/>
    <mergeCell ref="M441:N441"/>
    <mergeCell ref="C235:D235"/>
    <mergeCell ref="E175:F175"/>
    <mergeCell ref="E297:F297"/>
    <mergeCell ref="M232:N232"/>
    <mergeCell ref="M530:N530"/>
    <mergeCell ref="E604:F604"/>
    <mergeCell ref="G362:H362"/>
    <mergeCell ref="E185:F185"/>
    <mergeCell ref="A182:A189"/>
    <mergeCell ref="G241:H241"/>
    <mergeCell ref="B269:B271"/>
    <mergeCell ref="E299:F299"/>
    <mergeCell ref="E597:F597"/>
    <mergeCell ref="G355:H355"/>
    <mergeCell ref="I32:J32"/>
    <mergeCell ref="I7:J7"/>
    <mergeCell ref="G572:H572"/>
    <mergeCell ref="G243:H243"/>
    <mergeCell ref="E170:F170"/>
    <mergeCell ref="K63:L63"/>
    <mergeCell ref="I305:J305"/>
    <mergeCell ref="A596:A597"/>
    <mergeCell ref="E599:F599"/>
    <mergeCell ref="K553:L553"/>
    <mergeCell ref="K96:L96"/>
    <mergeCell ref="G574:H574"/>
    <mergeCell ref="I332:J332"/>
    <mergeCell ref="E201:F201"/>
    <mergeCell ref="M283:N283"/>
    <mergeCell ref="M581:N581"/>
    <mergeCell ref="E630:F630"/>
    <mergeCell ref="K98:L98"/>
    <mergeCell ref="M154:N154"/>
    <mergeCell ref="I632:J632"/>
    <mergeCell ref="B409:B411"/>
    <mergeCell ref="M583:N583"/>
    <mergeCell ref="K548:L548"/>
    <mergeCell ref="M156:N156"/>
    <mergeCell ref="M454:N454"/>
    <mergeCell ref="M612:N612"/>
    <mergeCell ref="K93:L93"/>
    <mergeCell ref="M155:N155"/>
    <mergeCell ref="I60:J60"/>
    <mergeCell ref="C465:D465"/>
    <mergeCell ref="E223:F223"/>
    <mergeCell ref="I174:J174"/>
    <mergeCell ref="K423:L423"/>
    <mergeCell ref="I472:J472"/>
    <mergeCell ref="G592:H592"/>
    <mergeCell ref="K537:L537"/>
    <mergeCell ref="I360:J360"/>
    <mergeCell ref="G287:H287"/>
    <mergeCell ref="I45:J45"/>
    <mergeCell ref="M180:N180"/>
    <mergeCell ref="K238:L238"/>
    <mergeCell ref="I352:J352"/>
    <mergeCell ref="K414:L414"/>
    <mergeCell ref="I474:J474"/>
    <mergeCell ref="M609:N609"/>
    <mergeCell ref="G289:H289"/>
    <mergeCell ref="I47:J47"/>
    <mergeCell ref="K109:L109"/>
    <mergeCell ref="M182:N182"/>
    <mergeCell ref="I345:J345"/>
    <mergeCell ref="M480:N480"/>
    <mergeCell ref="K240:L240"/>
    <mergeCell ref="E554:F554"/>
    <mergeCell ref="G587:H587"/>
    <mergeCell ref="K538:L538"/>
    <mergeCell ref="G13:H13"/>
    <mergeCell ref="B16:B18"/>
    <mergeCell ref="B641:B642"/>
    <mergeCell ref="K111:L111"/>
    <mergeCell ref="K409:L409"/>
    <mergeCell ref="G314:H314"/>
    <mergeCell ref="E241:F241"/>
    <mergeCell ref="I376:J376"/>
    <mergeCell ref="G618:H618"/>
    <mergeCell ref="E539:F539"/>
    <mergeCell ref="I534:J534"/>
    <mergeCell ref="G15:H15"/>
    <mergeCell ref="A492:A494"/>
    <mergeCell ref="E555:F555"/>
    <mergeCell ref="G313:H313"/>
    <mergeCell ref="E549:F549"/>
    <mergeCell ref="M297:N297"/>
    <mergeCell ref="G305:H305"/>
    <mergeCell ref="I79:J79"/>
    <mergeCell ref="A598:A605"/>
    <mergeCell ref="G315:H315"/>
    <mergeCell ref="I73:J73"/>
    <mergeCell ref="G613:H613"/>
    <mergeCell ref="I371:J371"/>
    <mergeCell ref="A433:A440"/>
    <mergeCell ref="K162:L162"/>
    <mergeCell ref="K137:L137"/>
    <mergeCell ref="G615:H615"/>
    <mergeCell ref="K460:L460"/>
    <mergeCell ref="G640:H640"/>
    <mergeCell ref="E267:F267"/>
    <mergeCell ref="E425:F425"/>
    <mergeCell ref="I406:J406"/>
    <mergeCell ref="K164:L164"/>
    <mergeCell ref="K139:L139"/>
    <mergeCell ref="M226:N226"/>
    <mergeCell ref="E269:F269"/>
    <mergeCell ref="C231:D231"/>
    <mergeCell ref="M228:N228"/>
    <mergeCell ref="M222:N222"/>
    <mergeCell ref="A292:A293"/>
    <mergeCell ref="A16:A21"/>
    <mergeCell ref="G53:H53"/>
    <mergeCell ref="G28:H28"/>
    <mergeCell ref="G326:H326"/>
    <mergeCell ref="I3:J3"/>
    <mergeCell ref="G239:H239"/>
    <mergeCell ref="K59:L59"/>
    <mergeCell ref="M223:N223"/>
    <mergeCell ref="I432:J432"/>
    <mergeCell ref="K190:L190"/>
    <mergeCell ref="G30:H30"/>
    <mergeCell ref="I92:J92"/>
    <mergeCell ref="G353:H353"/>
    <mergeCell ref="K488:L488"/>
    <mergeCell ref="A165:A166"/>
    <mergeCell ref="I5:J5"/>
    <mergeCell ref="I303:J303"/>
    <mergeCell ref="K61:L61"/>
    <mergeCell ref="E409:F409"/>
    <mergeCell ref="C135:D135"/>
    <mergeCell ref="K359:L359"/>
    <mergeCell ref="K490:L490"/>
    <mergeCell ref="I417:J417"/>
    <mergeCell ref="E626:F626"/>
    <mergeCell ref="I603:J603"/>
    <mergeCell ref="E321:F321"/>
    <mergeCell ref="E497:F497"/>
    <mergeCell ref="M554:N554"/>
    <mergeCell ref="K62:L62"/>
    <mergeCell ref="K193:L193"/>
    <mergeCell ref="E192:F192"/>
    <mergeCell ref="K491:L491"/>
    <mergeCell ref="B584:B585"/>
    <mergeCell ref="E323:F323"/>
    <mergeCell ref="G81:H81"/>
    <mergeCell ref="E499:F499"/>
    <mergeCell ref="M285:N285"/>
    <mergeCell ref="G379:H379"/>
    <mergeCell ref="E621:F621"/>
    <mergeCell ref="E194:F194"/>
    <mergeCell ref="I145:J145"/>
    <mergeCell ref="E623:F623"/>
    <mergeCell ref="I443:J443"/>
    <mergeCell ref="A13:A15"/>
    <mergeCell ref="A573:A577"/>
    <mergeCell ref="A347:A349"/>
    <mergeCell ref="I16:J16"/>
    <mergeCell ref="T441:U441"/>
    <mergeCell ref="E494:F494"/>
    <mergeCell ref="I147:J147"/>
    <mergeCell ref="K209:L209"/>
    <mergeCell ref="I445:J445"/>
    <mergeCell ref="K203:L203"/>
    <mergeCell ref="A2:A3"/>
    <mergeCell ref="I18:J18"/>
    <mergeCell ref="E34:F34"/>
    <mergeCell ref="B433:B435"/>
    <mergeCell ref="M267:N267"/>
    <mergeCell ref="E639:F639"/>
    <mergeCell ref="A33:A34"/>
    <mergeCell ref="G555:H555"/>
    <mergeCell ref="M478:N478"/>
    <mergeCell ref="E36:F36"/>
    <mergeCell ref="E334:F334"/>
    <mergeCell ref="M636:N636"/>
    <mergeCell ref="M269:N269"/>
    <mergeCell ref="E641:F641"/>
    <mergeCell ref="A35:A36"/>
    <mergeCell ref="G557:H557"/>
    <mergeCell ref="G100:H100"/>
    <mergeCell ref="E336:F336"/>
    <mergeCell ref="G94:H94"/>
    <mergeCell ref="E634:F634"/>
    <mergeCell ref="B573:B577"/>
    <mergeCell ref="G311:H311"/>
    <mergeCell ref="I69:J69"/>
    <mergeCell ref="B436:B438"/>
    <mergeCell ref="G609:H609"/>
    <mergeCell ref="I367:J367"/>
    <mergeCell ref="G102:H102"/>
    <mergeCell ref="K560:L560"/>
    <mergeCell ref="I158:J158"/>
    <mergeCell ref="I77:J77"/>
    <mergeCell ref="Q301:R301"/>
    <mergeCell ref="I375:J375"/>
    <mergeCell ref="G611:H611"/>
    <mergeCell ref="I369:J369"/>
    <mergeCell ref="I489:J489"/>
    <mergeCell ref="I160:J160"/>
    <mergeCell ref="M618:N618"/>
    <mergeCell ref="C200:D200"/>
    <mergeCell ref="K135:L135"/>
    <mergeCell ref="K433:L433"/>
    <mergeCell ref="B154:B156"/>
    <mergeCell ref="M191:N191"/>
    <mergeCell ref="M51:N51"/>
    <mergeCell ref="K591:L591"/>
    <mergeCell ref="M349:N349"/>
    <mergeCell ref="I72:J72"/>
    <mergeCell ref="B25:B27"/>
    <mergeCell ref="K435:L435"/>
    <mergeCell ref="G451:H451"/>
    <mergeCell ref="Q442:R442"/>
    <mergeCell ref="M192:N192"/>
    <mergeCell ref="I543:J543"/>
    <mergeCell ref="E266:F266"/>
    <mergeCell ref="G24:H24"/>
    <mergeCell ref="A578:A585"/>
    <mergeCell ref="E564:F564"/>
    <mergeCell ref="G322:H322"/>
    <mergeCell ref="A371:A372"/>
    <mergeCell ref="Q600:R600"/>
    <mergeCell ref="I211:J211"/>
    <mergeCell ref="I509:J509"/>
    <mergeCell ref="Q471:R471"/>
    <mergeCell ref="I545:J545"/>
    <mergeCell ref="G26:H26"/>
    <mergeCell ref="I88:J88"/>
    <mergeCell ref="B151:B153"/>
    <mergeCell ref="G324:H324"/>
    <mergeCell ref="I82:J82"/>
    <mergeCell ref="K275:L275"/>
    <mergeCell ref="I240:J240"/>
    <mergeCell ref="G482:H482"/>
    <mergeCell ref="I511:J511"/>
    <mergeCell ref="I538:J538"/>
    <mergeCell ref="Q473:R473"/>
    <mergeCell ref="K603:L603"/>
    <mergeCell ref="B200:B201"/>
    <mergeCell ref="K146:L146"/>
    <mergeCell ref="K6:L6"/>
    <mergeCell ref="I546:J546"/>
    <mergeCell ref="K304:L304"/>
    <mergeCell ref="K575:L575"/>
    <mergeCell ref="M333:N333"/>
    <mergeCell ref="I540:J540"/>
    <mergeCell ref="E407:F407"/>
    <mergeCell ref="K602:L602"/>
    <mergeCell ref="B78:B80"/>
    <mergeCell ref="M34:N34"/>
    <mergeCell ref="G42:H42"/>
    <mergeCell ref="K306:L306"/>
    <mergeCell ref="M368:N368"/>
    <mergeCell ref="K604:L604"/>
    <mergeCell ref="M245:N245"/>
    <mergeCell ref="I571:J571"/>
    <mergeCell ref="E617:F617"/>
    <mergeCell ref="B371:B372"/>
    <mergeCell ref="M552:N552"/>
    <mergeCell ref="B231:B232"/>
    <mergeCell ref="M334:N334"/>
    <mergeCell ref="M579:N579"/>
    <mergeCell ref="K60:L60"/>
    <mergeCell ref="G166:H166"/>
    <mergeCell ref="E408:F408"/>
    <mergeCell ref="E402:F402"/>
    <mergeCell ref="G464:H464"/>
    <mergeCell ref="B536:B538"/>
    <mergeCell ref="G500:H500"/>
    <mergeCell ref="I141:J141"/>
    <mergeCell ref="E103:F103"/>
    <mergeCell ref="G377:H377"/>
    <mergeCell ref="G352:H352"/>
    <mergeCell ref="E279:F279"/>
    <mergeCell ref="G37:H37"/>
    <mergeCell ref="I439:J439"/>
    <mergeCell ref="E619:F619"/>
    <mergeCell ref="I230:J230"/>
    <mergeCell ref="E437:F437"/>
    <mergeCell ref="G466:H466"/>
    <mergeCell ref="B68:B69"/>
    <mergeCell ref="I143:J143"/>
    <mergeCell ref="G167:H167"/>
    <mergeCell ref="I441:J441"/>
    <mergeCell ref="K288:L288"/>
    <mergeCell ref="B99:B100"/>
    <mergeCell ref="K207:L207"/>
    <mergeCell ref="K505:L505"/>
    <mergeCell ref="K499:L499"/>
    <mergeCell ref="K200:L200"/>
    <mergeCell ref="E32:F32"/>
    <mergeCell ref="E7:F7"/>
    <mergeCell ref="B424:B425"/>
    <mergeCell ref="E305:F305"/>
    <mergeCell ref="G63:H63"/>
    <mergeCell ref="M563:N563"/>
    <mergeCell ref="B547:B549"/>
    <mergeCell ref="K202:L202"/>
    <mergeCell ref="G553:H553"/>
    <mergeCell ref="G96:H96"/>
    <mergeCell ref="I584:J584"/>
    <mergeCell ref="E332:F332"/>
    <mergeCell ref="E307:F307"/>
    <mergeCell ref="M294:N294"/>
    <mergeCell ref="M565:N565"/>
    <mergeCell ref="A314:A321"/>
    <mergeCell ref="K231:L231"/>
    <mergeCell ref="G98:H98"/>
    <mergeCell ref="I154:J154"/>
    <mergeCell ref="E632:F632"/>
    <mergeCell ref="G548:H548"/>
    <mergeCell ref="M20:N20"/>
    <mergeCell ref="I156:J156"/>
    <mergeCell ref="I498:J498"/>
    <mergeCell ref="I454:J454"/>
    <mergeCell ref="I612:J612"/>
    <mergeCell ref="G93:H93"/>
    <mergeCell ref="E60:F60"/>
    <mergeCell ref="M22:N22"/>
    <mergeCell ref="M293:N293"/>
    <mergeCell ref="K562:L562"/>
    <mergeCell ref="M320:N320"/>
    <mergeCell ref="M286:N286"/>
    <mergeCell ref="E360:F360"/>
    <mergeCell ref="A200:A201"/>
    <mergeCell ref="E45:F45"/>
    <mergeCell ref="I180:J180"/>
    <mergeCell ref="M620:N620"/>
    <mergeCell ref="B145:B147"/>
    <mergeCell ref="A78:A80"/>
    <mergeCell ref="G424:H424"/>
    <mergeCell ref="I182:J182"/>
    <mergeCell ref="G109:H109"/>
    <mergeCell ref="E345:F345"/>
    <mergeCell ref="I480:J480"/>
    <mergeCell ref="Q467:R467"/>
    <mergeCell ref="Q598:R598"/>
    <mergeCell ref="A86:A88"/>
    <mergeCell ref="G295:H295"/>
    <mergeCell ref="G453:H453"/>
    <mergeCell ref="M4:N4"/>
    <mergeCell ref="G409:H409"/>
    <mergeCell ref="Q469:R469"/>
  </mergeCells>
  <dataValidations count="9">
    <dataValidation sqref="R107 R239 R371 R503 R635" showDropDown="0" showInputMessage="0" showErrorMessage="1" allowBlank="1" type="list" errorStyle="stop" operator="between">
      <formula1>#ref!</formula1>
      <formula2>0</formula2>
    </dataValidation>
    <dataValidation sqref="E100:N100 E102:N102 E106:N106 E108:N108 E112:N112 E114:N114 E116:N116 E232:N232 E234:N234 E238:N238 E240:N240 E244:N244 E246:N246 E248:N248 E364:N364 E366:N366 E370:N370 E372:N372 E376:N376 E378:N378 E380:N380 E496:N496 E498:N498 E502:N502 E504:N504 E508:N508 E510:N510 E512:N512 E628:N628 E630:N630 E634:N634 E636:N636 E640:N640 E642:N642 E644:N644" showDropDown="0" showInputMessage="0" showErrorMessage="1" allowBlank="1" type="list" errorStyle="stop" operator="between">
      <formula1>$P$104:$R$104</formula1>
      <formula2>0</formula2>
    </dataValidation>
    <dataValidation sqref="E11:N11 E18:N18 E21:N21 E43:N43 E49:N49 E56:N56 E64:N64 E76:N76 E80:N80 E85:N85 E88:N88 E93:N93 E98:N98 E143:N143 E150:N150 E153:N153 E175:N175 E181:N181 E188:N188 E196:N196 E208:N208 E212:N212 E217:N217 E220:N220 E225:N225 E230:N230 E275:N275 E282:N282 E285:N285 E307:N307 E313:N313 E320:N320 E328:N328 E340:N340 E344:N344 E349:N349 E352:N352 E357:N357 E362:N362 E407:N407 E414:N414 E417:N417 E439:N439 E445:N445 E452:N452 E460:N460 E472:N472 E476:N476 E481:N481 E484:N484 E489:N489 E494:N494 E539:N539 E546:N546 E549:N549 E571:N571 E577:N577 E584:N584 E592:N592 E604:N604 E608:N608 E613:N613 E616:N616 E621:N621 E626:N626 Q445:R445 Q472:R472 Q604:R604 T445:U445 T472:U472" showDropDown="0" showInputMessage="0" showErrorMessage="1" allowBlank="1" type="list" errorStyle="stop" operator="between">
      <formula1>$P$11:$R$11</formula1>
      <formula2>0</formula2>
    </dataValidation>
    <dataValidation sqref="E12:N12 E57:N57 E65:N65 E77:N77 E144:N144 E189:N189 E197:N197 E209:N209 E276:N276 E321:N321 E329:N329 E341:N341 E408:N408 E453:N453 E461:N461 E473:N473 E540:N540 E585:N585 E593:N593 E605:N605 Q473:R473 Q605:R605 T473:U473" showDropDown="0" showInputMessage="0" showErrorMessage="1" allowBlank="1" type="list" errorStyle="stop" operator="between">
      <formula1>$P$12:$R$12</formula1>
      <formula2>0</formula2>
    </dataValidation>
    <dataValidation sqref="E4:N4 E7:N7 E10 E13:N13 E17:N17 E20:N20 E23:N23 E26:N26 E28:N29 E34:N35 E39:N39 E42:N42 E47:N47 E52:N52 E55 E60:N60 E63:N63 E72:N72 E75:N75 E79:N79 E81:N81 E84:N84 E87:N87 E90:N90 E92:N92 E95:N95 E97:N97 E99:N99 E101:N101 E103:N105 E107:N107 E109:N109 E111:N111 E113:N113 E115:N115 E136:N136 E139:N139 E142 E145:N145 E149:N149 E152:N152 E155:N155 E158:N158 E160:N161 E166:N167 E171:N171 E174:N174 E179:N179 E184:N184 E187 E192:N192 E195:N195 E204:N204 E207:N207 E211:N211 E213:N213 E216:N216 E219:N219 E222:N222 E224:N224 E227:N227 E229:N229 E231:N231 E233:N233 E235:N237 E239:N239 E241:N241 E243:N243 E245:N245 E247:N247 E268:N268 E271:N271 E274 E277:N277 E281:N281 E284:N284 E287:N287 E290:N290 E292:N293 E298:N299 E303:N303 E306:N306 E311:N311 E316:N316 E319 E324:N324 E327:N327 E336:N336 E339:N339 E343:N343 E345:N345 E348:N348 E351:N351 E354:N354 E356:N356 E359:N359 E361:N361 E363:N363 E365:N365 E367:N369 E371:N371 E373:N373 E375:N375 E377:N377 E379:N379 E400:N400 E403:N403 E406 E409:N409 E413:N413 E416:N416 E420:N420 E422:N422 E424:N425 E430:N431 E435:N435 E438:N438 E443:N443 E448:N448 E451:K451 E456:N456 E459:N459 E468:N468 E471:N471 E475:N475 E477:N477 E480:N480 E483:N483 E486:N486 E488:N488 E491:N491 E493:N493 E495:N495 E497:N497 E499:N501 E503:N503 E505:N505 E507:N507 E509:N509 E511:N511 E532:N532 E535:N535 E538 E541:N541 E545:N545 E548:N548 E551:N551 E554:N554 E556:N557 E562:N563 E567:N567 E570:N570 E575:N575 E580:N580 E583 E588:N588 E591:N591 E600:N600 E603:N603 E607:N607 E609:N609 E612:N612 E615:N615 E618:N618 E620:N620 E623:N623 E625:N625 E627:N627 E629:N629 E631:N633 E635:N635 E637:N637 E639:N639 E641:N641 E643:N643 G10 G55 G142 G187 G274 G319 G406 G538 G583 I10 I55 I142 I187 I274 I319 I406 I538 I583 K10 K55 K142 K187 K274 K319 K406 K538 K583 M10 M55 M142 M187 M274 M319 M406 M451 M538 M583 Q39:R39 Q287:R287 Q290:R290 Q303:R303 Q443:R443 Q468:R468 Q471:R471 Q600:R600 Q603:R603 T443:U443 T468:U468 T471:U471" showDropDown="0" showInputMessage="0" showErrorMessage="1" allowBlank="1" type="list" errorStyle="stop" operator="between">
      <formula1>$P$13:$S$13</formula1>
      <formula2>0</formula2>
    </dataValidation>
    <dataValidation sqref="E94:N94 E226:N226 E358:N358 E490:N490 E622:N622" showDropDown="0" showInputMessage="0" showErrorMessage="1" allowBlank="1" type="list" errorStyle="stop" operator="between">
      <formula1>$P$94:$Q$94</formula1>
      <formula2>0</formula2>
    </dataValidation>
    <dataValidation sqref="E15:N15 E147:N147 E279:N279 E411:N411 E543:N543" showDropDown="0" showInputMessage="0" showErrorMessage="1" allowBlank="1" type="list" errorStyle="stop" operator="between">
      <formula1>$P$13:$R$13</formula1>
      <formula2>0</formula2>
    </dataValidation>
    <dataValidation sqref="E14:N14 E36:N36 E48:N48 E82:N82 E146:N146 E168:N168 E180:N180 E214:N214 E278:N278 E300:N300 E312:N312 E346:N346 E410:N410 E432:N432 E444:N444 E478:N478 E542:N542 E564:N564 E576:N576 E610:N610 Q444:R444 T444:U444" showDropDown="0" showInputMessage="0" showErrorMessage="1" allowBlank="1" type="list" errorStyle="stop" operator="between">
      <formula1>$P$14:$R$14</formula1>
      <formula2>0</formula2>
    </dataValidation>
    <dataValidation sqref="E44:N44 E176:N176 E308:N308 E440:N440 E572:N572" showDropDown="0" showInputMessage="0" showErrorMessage="1" allowBlank="1" type="list" errorStyle="stop" operator="between">
      <formula1>$P$44:$S$44</formula1>
      <formula2>0</formula2>
    </dataValidation>
  </dataValidations>
  <printOptions horizontalCentered="1" verticalCentered="0" headings="0" gridLines="0" gridLinesSet="1"/>
  <pageMargins left="0.39375" right="0.39375" top="0.590277777777778" bottom="0.39375" header="0.511811023622047" footer="0.511811023622047"/>
  <pageSetup orientation="portrait" paperSize="9" scale="89" fitToHeight="1" fitToWidth="1" pageOrder="downThenOver" blackAndWhite="0" draft="0" horizontalDpi="300" verticalDpi="300" copies="1"/>
  <rowBreaks count="9" manualBreakCount="9">
    <brk id="66" min="0" max="16383" man="1"/>
    <brk id="132" min="0" max="16383" man="1"/>
    <brk id="198" min="0" max="16383" man="1"/>
    <brk id="264" min="0" max="16383" man="1"/>
    <brk id="330" min="0" max="16383" man="1"/>
    <brk id="396" min="0" max="16383" man="1"/>
    <brk id="462" min="0" max="16383" man="1"/>
    <brk id="528" min="0" max="16383" man="1"/>
    <brk id="594" min="0" max="16383" man="1"/>
  </rowBreaks>
</worksheet>
</file>

<file path=xl/worksheets/sheet3.xml><?xml version="1.0" encoding="utf-8"?>
<worksheet xmlns="http://schemas.openxmlformats.org/spreadsheetml/2006/main">
  <sheetPr filterMode="0">
    <outlinePr summaryBelow="1" summaryRight="1"/>
    <pageSetUpPr fitToPage="0"/>
  </sheetPr>
  <dimension ref="A1:X355"/>
  <sheetViews>
    <sheetView showFormulas="0" showGridLines="1" showRowColHeaders="1" showZeros="1" rightToLeft="0" tabSelected="0" showOutlineSymbols="1" defaultGridColor="1" view="normal" topLeftCell="B291" colorId="64" zoomScale="100" zoomScaleNormal="100" zoomScalePageLayoutView="100" workbookViewId="0">
      <selection pane="topLeft" activeCell="C302" activeCellId="0" sqref="C302"/>
    </sheetView>
  </sheetViews>
  <sheetFormatPr baseColWidth="8" defaultColWidth="13" defaultRowHeight="12.75" zeroHeight="0" outlineLevelRow="0"/>
  <cols>
    <col width="4.45" customWidth="1" style="839" min="1" max="1"/>
    <col width="6.18" customWidth="1" style="839" min="2" max="3"/>
    <col width="12.18" customWidth="1" style="839" min="4" max="4"/>
    <col width="11.18" customWidth="1" style="839" min="5" max="5"/>
    <col width="8.640000000000001" customWidth="1" style="889" min="6" max="6"/>
    <col width="17.64" customWidth="1" style="889" min="7" max="11"/>
    <col width="2.64" customWidth="1" style="839" min="12" max="12"/>
    <col width="5.64" customWidth="1" style="890" min="13" max="15"/>
    <col width="13" customWidth="1" style="839" min="16" max="257"/>
  </cols>
  <sheetData>
    <row r="1" ht="21" customHeight="1" s="614">
      <c r="A1" s="764" t="inlineStr">
        <is>
          <t xml:space="preserve">　電気設備日常点検（１/２）</t>
        </is>
      </c>
      <c r="K1" s="839">
        <f>日常機械設備!K1</f>
        <v/>
      </c>
      <c r="M1" s="891" t="n"/>
      <c r="N1" s="891" t="n"/>
      <c r="O1" s="891" t="n"/>
      <c r="P1" s="892" t="n"/>
    </row>
    <row r="2" ht="13.5" customHeight="1" s="614">
      <c r="G2" s="875" t="n"/>
      <c r="H2" s="875" t="n"/>
      <c r="I2" s="875" t="n"/>
      <c r="J2" s="875" t="n"/>
      <c r="K2" s="875" t="n"/>
      <c r="M2" s="891" t="n"/>
      <c r="N2" s="891" t="n"/>
      <c r="O2" s="891" t="n"/>
      <c r="P2" s="892" t="n"/>
    </row>
    <row r="3" ht="17.25" customHeight="1" s="614">
      <c r="A3" s="893" t="inlineStr">
        <is>
          <t>電　　　　　気　　　　　室</t>
        </is>
      </c>
      <c r="B3" s="893" t="inlineStr">
        <is>
          <t>引込・受電</t>
        </is>
      </c>
      <c r="C3" s="832" t="inlineStr">
        <is>
          <t>電圧</t>
        </is>
      </c>
      <c r="D3" s="639" t="n"/>
      <c r="E3" s="640" t="n"/>
      <c r="F3" s="894" t="inlineStr">
        <is>
          <t>KV</t>
        </is>
      </c>
      <c r="G3" s="895" t="n"/>
      <c r="H3" s="804" t="n"/>
      <c r="I3" s="804" t="n"/>
      <c r="J3" s="804" t="n"/>
      <c r="K3" s="804" t="n"/>
      <c r="M3" s="891" t="n"/>
      <c r="N3" s="891" t="n"/>
      <c r="O3" s="891" t="n"/>
      <c r="P3" s="892" t="n"/>
    </row>
    <row r="4" ht="17.25" customHeight="1" s="614">
      <c r="A4" s="780" t="n"/>
      <c r="B4" s="780" t="n"/>
      <c r="C4" s="657" t="n"/>
      <c r="D4" s="653" t="n"/>
      <c r="E4" s="654" t="n"/>
      <c r="F4" s="896" t="inlineStr">
        <is>
          <t>モード</t>
        </is>
      </c>
      <c r="G4" s="897" t="n"/>
      <c r="H4" s="897" t="n"/>
      <c r="I4" s="897" t="n"/>
      <c r="J4" s="897" t="n"/>
      <c r="K4" s="897" t="n"/>
      <c r="M4" s="891" t="n"/>
      <c r="N4" s="891" t="n"/>
      <c r="O4" s="891" t="n"/>
      <c r="P4" s="892" t="n"/>
      <c r="X4" s="839">
        <f>K4-J4</f>
        <v/>
      </c>
    </row>
    <row r="5" ht="17.25" customHeight="1" s="614">
      <c r="A5" s="780" t="n"/>
      <c r="B5" s="780" t="n"/>
      <c r="C5" s="832" t="inlineStr">
        <is>
          <t>力率</t>
        </is>
      </c>
      <c r="D5" s="626" t="n"/>
      <c r="E5" s="627" t="n"/>
      <c r="F5" s="898" t="inlineStr">
        <is>
          <t>ψ</t>
        </is>
      </c>
      <c r="G5" s="899" t="n"/>
      <c r="H5" s="900" t="n"/>
      <c r="I5" s="900" t="n"/>
      <c r="J5" s="900" t="n"/>
      <c r="K5" s="900" t="n"/>
      <c r="M5" s="891" t="n"/>
      <c r="N5" s="891" t="n"/>
      <c r="O5" s="891" t="n"/>
      <c r="P5" s="892" t="n"/>
    </row>
    <row r="6" ht="17.25" customHeight="1" s="614">
      <c r="A6" s="780" t="n"/>
      <c r="B6" s="780" t="n"/>
      <c r="C6" s="832" t="inlineStr">
        <is>
          <t>電流</t>
        </is>
      </c>
      <c r="D6" s="639" t="n"/>
      <c r="E6" s="640" t="n"/>
      <c r="F6" s="894" t="inlineStr">
        <is>
          <t>A</t>
        </is>
      </c>
      <c r="G6" s="901" t="n"/>
      <c r="H6" s="902" t="n"/>
      <c r="I6" s="902" t="n"/>
      <c r="J6" s="902" t="n"/>
      <c r="K6" s="902" t="n"/>
      <c r="M6" s="891" t="n"/>
      <c r="N6" s="891" t="n"/>
      <c r="O6" s="891" t="n"/>
      <c r="P6" s="892" t="n"/>
    </row>
    <row r="7" ht="17.25" customHeight="1" s="614">
      <c r="A7" s="780" t="n"/>
      <c r="B7" s="780" t="n"/>
      <c r="C7" s="657" t="n"/>
      <c r="D7" s="653" t="n"/>
      <c r="E7" s="654" t="n"/>
      <c r="F7" s="896" t="inlineStr">
        <is>
          <t>モード</t>
        </is>
      </c>
      <c r="G7" s="897" t="n"/>
      <c r="H7" s="897" t="n"/>
      <c r="I7" s="897" t="n"/>
      <c r="J7" s="897" t="n"/>
      <c r="K7" s="897" t="n"/>
      <c r="M7" s="891" t="n"/>
      <c r="N7" s="891" t="n"/>
      <c r="O7" s="891" t="n"/>
      <c r="P7" s="892" t="n"/>
    </row>
    <row r="8" ht="17.25" customHeight="1" s="614">
      <c r="A8" s="780" t="n"/>
      <c r="B8" s="780" t="n"/>
      <c r="C8" s="832" t="inlineStr">
        <is>
          <t>普通電力量（×１０ｋw）</t>
        </is>
      </c>
      <c r="D8" s="639" t="n"/>
      <c r="E8" s="640" t="n"/>
      <c r="F8" s="903" t="inlineStr">
        <is>
          <t>読み</t>
        </is>
      </c>
      <c r="G8" s="901" t="n"/>
      <c r="H8" s="902" t="n"/>
      <c r="I8" s="902" t="n"/>
      <c r="J8" s="902" t="n"/>
      <c r="K8" s="902" t="n"/>
      <c r="M8" s="891" t="n"/>
      <c r="N8" s="904" t="n"/>
      <c r="O8" s="891" t="n"/>
      <c r="P8" s="892" t="n"/>
    </row>
    <row r="9" ht="17.25" customHeight="1" s="614">
      <c r="A9" s="780" t="n"/>
      <c r="B9" s="780" t="n"/>
      <c r="C9" s="657" t="n"/>
      <c r="D9" s="653" t="n"/>
      <c r="E9" s="654" t="n"/>
      <c r="F9" s="896" t="inlineStr">
        <is>
          <t>使用量</t>
        </is>
      </c>
      <c r="G9" s="905" t="n"/>
      <c r="H9" s="906" t="n"/>
      <c r="I9" s="906" t="n"/>
      <c r="J9" s="906" t="n"/>
      <c r="K9" s="906" t="n"/>
      <c r="M9" s="891" t="n"/>
      <c r="N9" s="891" t="n"/>
      <c r="O9" s="891" t="n"/>
      <c r="P9" s="892" t="n"/>
    </row>
    <row r="10" ht="17.25" customHeight="1" s="614">
      <c r="A10" s="780" t="n"/>
      <c r="B10" s="780" t="n"/>
      <c r="C10" s="832" t="inlineStr">
        <is>
          <t>引込・受電設定</t>
        </is>
      </c>
      <c r="D10" s="639" t="n"/>
      <c r="E10" s="640" t="n"/>
      <c r="F10" s="903" t="inlineStr">
        <is>
          <t>手動/自動</t>
        </is>
      </c>
      <c r="G10" s="907" t="n"/>
      <c r="H10" s="908" t="n"/>
      <c r="I10" s="908" t="n"/>
      <c r="J10" s="908" t="n"/>
      <c r="K10" s="908" t="n"/>
      <c r="M10" s="904" t="n"/>
      <c r="N10" s="904" t="n"/>
      <c r="O10" s="891" t="n"/>
      <c r="P10" s="892" t="n"/>
    </row>
    <row r="11" ht="17.25" customHeight="1" s="614">
      <c r="A11" s="780" t="n"/>
      <c r="B11" s="769" t="n"/>
      <c r="C11" s="657" t="n"/>
      <c r="D11" s="653" t="n"/>
      <c r="E11" s="654" t="n"/>
      <c r="F11" s="896" t="inlineStr">
        <is>
          <t>切/入</t>
        </is>
      </c>
      <c r="G11" s="909" t="n"/>
      <c r="H11" s="910" t="n"/>
      <c r="I11" s="910" t="n"/>
      <c r="J11" s="910" t="n"/>
      <c r="K11" s="910" t="n"/>
      <c r="M11" s="904" t="n"/>
      <c r="N11" s="904" t="n"/>
      <c r="O11" s="891" t="n"/>
      <c r="P11" s="892" t="n"/>
    </row>
    <row r="12" ht="17.25" customHeight="1" s="614">
      <c r="A12" s="780" t="n"/>
      <c r="B12" s="911" t="inlineStr">
        <is>
          <t>変圧器</t>
        </is>
      </c>
      <c r="C12" s="912" t="inlineStr">
        <is>
          <t>主変圧器温度</t>
        </is>
      </c>
      <c r="D12" s="639" t="n"/>
      <c r="E12" s="640" t="n"/>
      <c r="F12" s="894" t="inlineStr">
        <is>
          <t>℃</t>
        </is>
      </c>
      <c r="G12" s="901" t="n"/>
      <c r="H12" s="913" t="n"/>
      <c r="I12" s="913" t="n"/>
      <c r="J12" s="913" t="n"/>
      <c r="K12" s="913" t="n"/>
      <c r="M12" s="891" t="n"/>
      <c r="N12" s="891" t="n"/>
      <c r="O12" s="891" t="n"/>
      <c r="P12" s="892" t="n"/>
    </row>
    <row r="13" ht="17.25" customHeight="1" s="614">
      <c r="A13" s="780" t="n"/>
      <c r="B13" s="769" t="n"/>
      <c r="C13" s="835" t="inlineStr">
        <is>
          <t>異音、脱臭の有無</t>
        </is>
      </c>
      <c r="D13" s="653" t="n"/>
      <c r="E13" s="654" t="n"/>
      <c r="F13" s="896" t="inlineStr">
        <is>
          <t>有・無</t>
        </is>
      </c>
      <c r="G13" s="909" t="n"/>
      <c r="H13" s="910" t="n"/>
      <c r="I13" s="910" t="n"/>
      <c r="J13" s="910" t="n"/>
      <c r="K13" s="910" t="n"/>
      <c r="M13" s="904" t="n"/>
      <c r="N13" s="904" t="n"/>
      <c r="O13" s="891" t="n"/>
      <c r="P13" s="892" t="n"/>
    </row>
    <row r="14" ht="17.25" customHeight="1" s="614">
      <c r="A14" s="780" t="n"/>
      <c r="B14" s="914" t="inlineStr">
        <is>
          <t>低　　圧　　分　　岐</t>
        </is>
      </c>
      <c r="C14" s="832" t="inlineStr">
        <is>
          <t>動力（２１０V）　電圧</t>
        </is>
      </c>
      <c r="D14" s="639" t="n"/>
      <c r="E14" s="640" t="n"/>
      <c r="F14" s="894" t="inlineStr">
        <is>
          <t>V</t>
        </is>
      </c>
      <c r="G14" s="895" t="n"/>
      <c r="H14" s="804" t="n"/>
      <c r="I14" s="804" t="n"/>
      <c r="J14" s="804" t="n"/>
      <c r="K14" s="804" t="n"/>
      <c r="M14" s="891" t="n"/>
      <c r="N14" s="891" t="n"/>
      <c r="O14" s="891" t="n"/>
      <c r="P14" s="892" t="n"/>
    </row>
    <row r="15" ht="17.25" customHeight="1" s="614">
      <c r="A15" s="780" t="n"/>
      <c r="B15" s="780" t="n"/>
      <c r="C15" s="657" t="n"/>
      <c r="D15" s="653" t="n"/>
      <c r="E15" s="654" t="n"/>
      <c r="F15" s="896" t="inlineStr">
        <is>
          <t>モード</t>
        </is>
      </c>
      <c r="G15" s="897" t="n"/>
      <c r="H15" s="915" t="n"/>
      <c r="I15" s="915" t="n"/>
      <c r="J15" s="915" t="n"/>
      <c r="K15" s="915" t="n"/>
      <c r="M15" s="891" t="n"/>
      <c r="N15" s="891" t="n"/>
      <c r="O15" s="891" t="n"/>
      <c r="P15" s="892" t="n"/>
    </row>
    <row r="16" ht="17.25" customHeight="1" s="614">
      <c r="A16" s="780" t="n"/>
      <c r="B16" s="780" t="n"/>
      <c r="C16" s="832" t="inlineStr">
        <is>
          <t>動力（２１０V）　電流</t>
        </is>
      </c>
      <c r="D16" s="639" t="n"/>
      <c r="E16" s="640" t="n"/>
      <c r="F16" s="916" t="inlineStr">
        <is>
          <t>A</t>
        </is>
      </c>
      <c r="G16" s="917" t="n"/>
      <c r="H16" s="918" t="n"/>
      <c r="I16" s="918" t="n"/>
      <c r="J16" s="918" t="n"/>
      <c r="K16" s="918" t="n"/>
      <c r="M16" s="891" t="n"/>
      <c r="N16" s="891" t="n"/>
      <c r="O16" s="891" t="n"/>
      <c r="P16" s="892" t="n"/>
    </row>
    <row r="17" ht="17.25" customHeight="1" s="614">
      <c r="A17" s="780" t="n"/>
      <c r="B17" s="780" t="n"/>
      <c r="C17" s="657" t="n"/>
      <c r="D17" s="653" t="n"/>
      <c r="E17" s="654" t="n"/>
      <c r="F17" s="919" t="inlineStr">
        <is>
          <t>モード</t>
        </is>
      </c>
      <c r="G17" s="897" t="n"/>
      <c r="H17" s="915" t="n"/>
      <c r="I17" s="920" t="n"/>
      <c r="J17" s="897" t="n"/>
      <c r="K17" s="897" t="n"/>
      <c r="M17" s="891" t="n"/>
      <c r="N17" s="891" t="n"/>
      <c r="O17" s="891" t="n"/>
      <c r="P17" s="892" t="n"/>
    </row>
    <row r="18" ht="17.25" customHeight="1" s="614">
      <c r="A18" s="780" t="n"/>
      <c r="B18" s="780" t="n"/>
      <c r="C18" s="832" t="inlineStr">
        <is>
          <t>照明(210-105V)　 電流</t>
        </is>
      </c>
      <c r="D18" s="639" t="n"/>
      <c r="E18" s="640" t="n"/>
      <c r="F18" s="916" t="inlineStr">
        <is>
          <t>A</t>
        </is>
      </c>
      <c r="G18" s="917" t="n"/>
      <c r="H18" s="918" t="n"/>
      <c r="I18" s="918" t="n"/>
      <c r="J18" s="918" t="n"/>
      <c r="K18" s="918" t="n"/>
      <c r="M18" s="891" t="n"/>
      <c r="N18" s="891" t="n"/>
      <c r="O18" s="891" t="n"/>
      <c r="P18" s="892" t="n"/>
    </row>
    <row r="19" ht="17.25" customHeight="1" s="614">
      <c r="A19" s="780" t="n"/>
      <c r="B19" s="780" t="n"/>
      <c r="C19" s="657" t="n"/>
      <c r="D19" s="653" t="n"/>
      <c r="E19" s="654" t="n"/>
      <c r="F19" s="919" t="inlineStr">
        <is>
          <t>モード</t>
        </is>
      </c>
      <c r="G19" s="897" t="n"/>
      <c r="H19" s="915" t="n"/>
      <c r="I19" s="897" t="n"/>
      <c r="J19" s="897" t="n"/>
      <c r="K19" s="921" t="n"/>
      <c r="M19" s="904" t="n"/>
      <c r="N19" s="904" t="n"/>
      <c r="O19" s="904" t="n"/>
      <c r="P19" s="892" t="n"/>
    </row>
    <row r="20" ht="17.25" customHeight="1" s="614">
      <c r="A20" s="780" t="n"/>
      <c r="B20" s="780" t="n"/>
      <c r="C20" s="832" t="inlineStr">
        <is>
          <t>低圧分岐設備</t>
        </is>
      </c>
      <c r="D20" s="626" t="n"/>
      <c r="E20" s="627" t="n"/>
      <c r="F20" s="922" t="inlineStr">
        <is>
          <t>買電/自家発</t>
        </is>
      </c>
      <c r="G20" s="874" t="n"/>
      <c r="H20" s="767" t="n"/>
      <c r="I20" s="767" t="n"/>
      <c r="J20" s="767" t="n"/>
      <c r="K20" s="767" t="n"/>
      <c r="M20" s="904" t="n"/>
      <c r="N20" s="904" t="n"/>
      <c r="O20" s="891" t="n"/>
      <c r="P20" s="892" t="n"/>
    </row>
    <row r="21" ht="17.25" customHeight="1" s="614">
      <c r="A21" s="780" t="n"/>
      <c r="B21" s="780" t="n"/>
      <c r="C21" s="912" t="inlineStr">
        <is>
          <t>動力制御盤1</t>
        </is>
      </c>
      <c r="D21" s="639" t="n"/>
      <c r="E21" s="640" t="n"/>
      <c r="F21" s="923" t="inlineStr">
        <is>
          <t>読み</t>
        </is>
      </c>
      <c r="G21" s="924" t="n"/>
      <c r="H21" s="925" t="n"/>
      <c r="I21" s="925" t="n"/>
      <c r="J21" s="925" t="n"/>
      <c r="K21" s="925" t="n"/>
      <c r="M21" s="891" t="n"/>
      <c r="N21" s="891" t="n"/>
      <c r="O21" s="891" t="n"/>
      <c r="P21" s="892" t="n"/>
    </row>
    <row r="22" ht="17.25" customHeight="1" s="614">
      <c r="A22" s="780" t="n"/>
      <c r="B22" s="780" t="n"/>
      <c r="C22" s="835" t="inlineStr">
        <is>
          <t>（×１ｋｗｈ）</t>
        </is>
      </c>
      <c r="D22" s="653" t="n"/>
      <c r="E22" s="654" t="n"/>
      <c r="F22" s="896" t="inlineStr">
        <is>
          <t>使用量</t>
        </is>
      </c>
      <c r="G22" s="905" t="n"/>
      <c r="H22" s="926" t="n"/>
      <c r="I22" s="926" t="n"/>
      <c r="J22" s="926" t="n"/>
      <c r="K22" s="926" t="n"/>
      <c r="M22" s="891" t="n"/>
      <c r="N22" s="891" t="n"/>
      <c r="O22" s="891" t="n"/>
      <c r="P22" s="892" t="n"/>
    </row>
    <row r="23" ht="17.25" customHeight="1" s="614">
      <c r="A23" s="780" t="n"/>
      <c r="B23" s="780" t="n"/>
      <c r="C23" s="912" t="inlineStr">
        <is>
          <t>動力制御盤2</t>
        </is>
      </c>
      <c r="D23" s="639" t="n"/>
      <c r="E23" s="640" t="n"/>
      <c r="F23" s="923" t="inlineStr">
        <is>
          <t>読み</t>
        </is>
      </c>
      <c r="G23" s="924" t="n"/>
      <c r="H23" s="925" t="n"/>
      <c r="I23" s="925" t="n"/>
      <c r="J23" s="925" t="n"/>
      <c r="K23" s="925" t="n"/>
      <c r="M23" s="891" t="n"/>
      <c r="N23" s="891" t="n"/>
      <c r="O23" s="891" t="n"/>
      <c r="P23" s="892" t="n"/>
    </row>
    <row r="24" ht="17.25" customHeight="1" s="614">
      <c r="A24" s="780" t="n"/>
      <c r="B24" s="780" t="n"/>
      <c r="C24" s="835" t="inlineStr">
        <is>
          <t>（×１ｋｗｈ）</t>
        </is>
      </c>
      <c r="D24" s="653" t="n"/>
      <c r="E24" s="654" t="n"/>
      <c r="F24" s="896" t="inlineStr">
        <is>
          <t>使用量</t>
        </is>
      </c>
      <c r="G24" s="905" t="n"/>
      <c r="H24" s="926" t="n"/>
      <c r="I24" s="926" t="n"/>
      <c r="J24" s="926" t="n"/>
      <c r="K24" s="926" t="n"/>
      <c r="M24" s="891" t="n"/>
      <c r="N24" s="891" t="n"/>
      <c r="O24" s="891" t="n"/>
      <c r="P24" s="892" t="n"/>
    </row>
    <row r="25" ht="17.25" customHeight="1" s="614">
      <c r="A25" s="780" t="n"/>
      <c r="B25" s="780" t="n"/>
      <c r="C25" s="912" t="inlineStr">
        <is>
          <t>動力制御盤3</t>
        </is>
      </c>
      <c r="D25" s="639" t="n"/>
      <c r="E25" s="640" t="n"/>
      <c r="F25" s="923" t="inlineStr">
        <is>
          <t>読み</t>
        </is>
      </c>
      <c r="G25" s="917" t="n"/>
      <c r="H25" s="918" t="n"/>
      <c r="I25" s="918" t="n"/>
      <c r="J25" s="918" t="n"/>
      <c r="K25" s="918" t="n"/>
      <c r="M25" s="891" t="n"/>
      <c r="N25" s="891" t="n"/>
      <c r="O25" s="891" t="n"/>
      <c r="P25" s="892" t="n"/>
    </row>
    <row r="26" ht="17.25" customHeight="1" s="614">
      <c r="A26" s="780" t="n"/>
      <c r="B26" s="780" t="n"/>
      <c r="C26" s="835" t="inlineStr">
        <is>
          <t>（×１ｋｗｈ）</t>
        </is>
      </c>
      <c r="D26" s="653" t="n"/>
      <c r="E26" s="654" t="n"/>
      <c r="F26" s="896" t="inlineStr">
        <is>
          <t>使用量</t>
        </is>
      </c>
      <c r="G26" s="905" t="n"/>
      <c r="H26" s="926" t="n"/>
      <c r="I26" s="926" t="n"/>
      <c r="J26" s="926" t="n"/>
      <c r="K26" s="926" t="n"/>
      <c r="M26" s="891" t="n"/>
      <c r="N26" s="891" t="n"/>
      <c r="O26" s="891" t="n"/>
      <c r="P26" s="892" t="n"/>
    </row>
    <row r="27" ht="17.25" customHeight="1" s="614">
      <c r="A27" s="780" t="n"/>
      <c r="B27" s="780" t="n"/>
      <c r="C27" s="912" t="inlineStr">
        <is>
          <t>動力制御盤4</t>
        </is>
      </c>
      <c r="D27" s="639" t="n"/>
      <c r="E27" s="640" t="n"/>
      <c r="F27" s="923" t="inlineStr">
        <is>
          <t>読み</t>
        </is>
      </c>
      <c r="G27" s="927" t="n"/>
      <c r="H27" s="928" t="n"/>
      <c r="I27" s="928" t="n"/>
      <c r="J27" s="928" t="n"/>
      <c r="K27" s="928" t="n"/>
      <c r="M27" s="891" t="n"/>
      <c r="N27" s="891" t="n"/>
      <c r="O27" s="891" t="n"/>
      <c r="P27" s="892" t="n"/>
    </row>
    <row r="28" ht="17.25" customHeight="1" s="614">
      <c r="A28" s="780" t="n"/>
      <c r="B28" s="780" t="n"/>
      <c r="C28" s="835" t="inlineStr">
        <is>
          <t>（×１ｋｗｈ）</t>
        </is>
      </c>
      <c r="D28" s="653" t="n"/>
      <c r="E28" s="654" t="n"/>
      <c r="F28" s="896" t="inlineStr">
        <is>
          <t>使用量</t>
        </is>
      </c>
      <c r="G28" s="897" t="n"/>
      <c r="H28" s="929" t="n"/>
      <c r="I28" s="929" t="n"/>
      <c r="J28" s="929" t="n"/>
      <c r="K28" s="929" t="n"/>
      <c r="M28" s="891" t="n"/>
      <c r="N28" s="891" t="n"/>
      <c r="O28" s="891" t="n"/>
      <c r="P28" s="892" t="n"/>
    </row>
    <row r="29" ht="17.25" customHeight="1" s="614">
      <c r="A29" s="780" t="n"/>
      <c r="B29" s="780" t="n"/>
      <c r="C29" s="930" t="inlineStr">
        <is>
          <t>No.１　コンデンサー(電磁接触器)</t>
        </is>
      </c>
      <c r="D29" s="626" t="n"/>
      <c r="E29" s="627" t="n"/>
      <c r="F29" s="767" t="inlineStr">
        <is>
          <t>切/入</t>
        </is>
      </c>
      <c r="G29" s="874" t="n"/>
      <c r="H29" s="874" t="n"/>
      <c r="I29" s="874" t="n"/>
      <c r="J29" s="874" t="n"/>
      <c r="K29" s="874" t="n"/>
      <c r="M29" s="904" t="n"/>
      <c r="N29" s="904" t="n"/>
      <c r="O29" s="891" t="n"/>
      <c r="P29" s="892" t="n"/>
    </row>
    <row r="30" ht="17.25" customHeight="1" s="614">
      <c r="A30" s="780" t="n"/>
      <c r="B30" s="780" t="n"/>
      <c r="C30" s="930" t="inlineStr">
        <is>
          <t>No.２　コンデンサー(電磁接触器)</t>
        </is>
      </c>
      <c r="D30" s="626" t="n"/>
      <c r="E30" s="627" t="n"/>
      <c r="F30" s="767" t="inlineStr">
        <is>
          <t>切/入</t>
        </is>
      </c>
      <c r="G30" s="874" t="n"/>
      <c r="H30" s="874" t="n"/>
      <c r="I30" s="874" t="n"/>
      <c r="J30" s="874" t="n"/>
      <c r="K30" s="874" t="n"/>
      <c r="M30" s="891" t="n"/>
      <c r="N30" s="891" t="n"/>
      <c r="O30" s="891" t="n"/>
      <c r="P30" s="892" t="n"/>
    </row>
    <row r="31" ht="17.25" customHeight="1" s="614">
      <c r="A31" s="769" t="n"/>
      <c r="B31" s="769" t="n"/>
      <c r="C31" s="930" t="inlineStr">
        <is>
          <t>No.３　コンデンサー(電磁接触器)</t>
        </is>
      </c>
      <c r="D31" s="626" t="n"/>
      <c r="E31" s="627" t="n"/>
      <c r="F31" s="767" t="inlineStr">
        <is>
          <t>切/入</t>
        </is>
      </c>
      <c r="G31" s="874" t="n"/>
      <c r="H31" s="874" t="n"/>
      <c r="I31" s="874" t="n"/>
      <c r="J31" s="874" t="n"/>
      <c r="K31" s="874" t="n"/>
      <c r="M31" s="891" t="n"/>
      <c r="N31" s="891" t="n"/>
      <c r="O31" s="891" t="n"/>
      <c r="P31" s="892" t="n"/>
    </row>
    <row r="32" ht="13.5" customHeight="1" s="614">
      <c r="A32" s="931" t="inlineStr">
        <is>
          <t>備　考</t>
        </is>
      </c>
      <c r="B32" s="930" t="n"/>
      <c r="C32" s="639" t="n"/>
      <c r="D32" s="639" t="n"/>
      <c r="E32" s="639" t="n"/>
      <c r="F32" s="639" t="n"/>
      <c r="G32" s="639" t="n"/>
      <c r="H32" s="639" t="n"/>
      <c r="I32" s="639" t="n"/>
      <c r="J32" s="639" t="n"/>
      <c r="K32" s="640" t="n"/>
      <c r="M32" s="891" t="n"/>
      <c r="N32" s="891" t="n"/>
      <c r="O32" s="891" t="n"/>
      <c r="P32" s="892" t="n"/>
    </row>
    <row r="33" ht="13.5" customHeight="1" s="614">
      <c r="A33" s="780" t="n"/>
      <c r="B33" s="668" t="n"/>
      <c r="K33" s="647" t="n"/>
      <c r="M33" s="891" t="n"/>
      <c r="N33" s="891" t="n"/>
      <c r="O33" s="891" t="n"/>
      <c r="P33" s="892" t="n"/>
    </row>
    <row r="34" ht="13.5" customHeight="1" s="614">
      <c r="A34" s="769" t="n"/>
      <c r="B34" s="657" t="n"/>
      <c r="C34" s="653" t="n"/>
      <c r="D34" s="653" t="n"/>
      <c r="E34" s="653" t="n"/>
      <c r="F34" s="653" t="n"/>
      <c r="G34" s="653" t="n"/>
      <c r="H34" s="653" t="n"/>
      <c r="I34" s="653" t="n"/>
      <c r="J34" s="653" t="n"/>
      <c r="K34" s="654" t="n"/>
      <c r="M34" s="891" t="n"/>
      <c r="N34" s="891" t="n"/>
      <c r="O34" s="891" t="n"/>
      <c r="P34" s="892" t="n"/>
    </row>
    <row r="35" ht="21" customHeight="1" s="614">
      <c r="A35" s="764" t="inlineStr">
        <is>
          <t xml:space="preserve">　電気設備日常点検（２/２）</t>
        </is>
      </c>
      <c r="M35" s="891" t="n"/>
      <c r="N35" s="891" t="n"/>
      <c r="O35" s="891" t="n"/>
      <c r="P35" s="892" t="n"/>
    </row>
    <row r="36" ht="16.5" customHeight="1" s="614">
      <c r="A36" s="932" t="n"/>
      <c r="B36" s="767" t="inlineStr">
        <is>
          <t>機器名</t>
        </is>
      </c>
      <c r="C36" s="640" t="n"/>
      <c r="D36" s="767" t="inlineStr">
        <is>
          <t>点　　検　　者　　氏　　名</t>
        </is>
      </c>
      <c r="E36" s="626" t="n"/>
      <c r="F36" s="627" t="n"/>
      <c r="G36" s="767" t="n"/>
      <c r="H36" s="767" t="n"/>
      <c r="I36" s="767" t="n"/>
      <c r="J36" s="767" t="n"/>
      <c r="K36" s="767" t="n"/>
      <c r="M36" s="891" t="n"/>
      <c r="N36" s="891" t="n"/>
      <c r="O36" s="891" t="n"/>
      <c r="P36" s="892" t="n"/>
    </row>
    <row r="37" ht="16.5" customHeight="1" s="614">
      <c r="A37" s="769" t="n"/>
      <c r="B37" s="657" t="n"/>
      <c r="C37" s="654" t="n"/>
      <c r="D37" s="767" t="inlineStr">
        <is>
          <t>点　　　検　　　内　　　容</t>
        </is>
      </c>
      <c r="E37" s="626" t="n"/>
      <c r="F37" s="627" t="n"/>
      <c r="G37" s="771" t="n"/>
      <c r="H37" s="771" t="n"/>
      <c r="I37" s="771" t="n"/>
      <c r="J37" s="771" t="n"/>
      <c r="K37" s="771" t="n"/>
      <c r="M37" s="891" t="n"/>
      <c r="N37" s="891" t="n"/>
      <c r="O37" s="891" t="n"/>
      <c r="P37" s="892" t="n"/>
    </row>
    <row r="38" ht="15.75" customHeight="1" s="614">
      <c r="A38" s="893" t="inlineStr">
        <is>
          <t>計　　　　　装　　　　　設　　　　　備</t>
        </is>
      </c>
      <c r="B38" s="878" t="inlineStr">
        <is>
          <t>ポンプ井
水位計</t>
        </is>
      </c>
      <c r="C38" s="640" t="n"/>
      <c r="D38" s="933" t="inlineStr">
        <is>
          <t>外観の確認</t>
        </is>
      </c>
      <c r="E38" s="706" t="n"/>
      <c r="G38" s="804" t="n"/>
      <c r="H38" s="804" t="n"/>
      <c r="I38" s="804" t="n"/>
      <c r="J38" s="804" t="n"/>
      <c r="K38" s="804" t="n"/>
      <c r="M38" s="891" t="n"/>
      <c r="N38" s="891" t="n"/>
      <c r="O38" s="891" t="n"/>
      <c r="P38" s="892" t="n"/>
    </row>
    <row r="39" ht="15.75" customHeight="1" s="614">
      <c r="A39" s="780" t="n"/>
      <c r="B39" s="668" t="n"/>
      <c r="C39" s="647" t="n"/>
      <c r="D39" s="934" t="inlineStr">
        <is>
          <t>指示状況の確認</t>
        </is>
      </c>
      <c r="E39" s="672" t="n"/>
      <c r="F39" s="935" t="n"/>
      <c r="G39" s="936" t="n"/>
      <c r="H39" s="936" t="n"/>
      <c r="I39" s="936" t="n"/>
      <c r="J39" s="936" t="n"/>
      <c r="K39" s="936" t="n"/>
      <c r="M39" s="891" t="n"/>
      <c r="N39" s="891" t="n"/>
      <c r="O39" s="891" t="n"/>
      <c r="P39" s="892" t="n"/>
    </row>
    <row r="40" ht="15.75" customHeight="1" s="614">
      <c r="A40" s="780" t="n"/>
      <c r="B40" s="657" t="n"/>
      <c r="C40" s="654" t="n"/>
      <c r="D40" s="937" t="inlineStr">
        <is>
          <t>計器読み</t>
        </is>
      </c>
      <c r="E40" s="938" t="n"/>
      <c r="F40" s="939" t="inlineStr">
        <is>
          <t>ｍ</t>
        </is>
      </c>
      <c r="G40" s="940" t="n"/>
      <c r="H40" s="940" t="n"/>
      <c r="I40" s="940" t="n"/>
      <c r="J40" s="940" t="n"/>
      <c r="K40" s="940" t="n"/>
      <c r="M40" s="891" t="n"/>
      <c r="N40" s="891" t="n"/>
      <c r="O40" s="891" t="n"/>
      <c r="P40" s="892" t="n"/>
    </row>
    <row r="41" ht="15.75" customHeight="1" s="614">
      <c r="A41" s="780" t="n"/>
      <c r="B41" s="941" t="inlineStr">
        <is>
          <t>Nｏ．１オキシデーションディッチＤＯ計</t>
        </is>
      </c>
      <c r="C41" s="640" t="n"/>
      <c r="D41" s="942" t="inlineStr">
        <is>
          <t>外観の確認</t>
        </is>
      </c>
      <c r="E41" s="688" t="n"/>
      <c r="F41" s="943" t="n"/>
      <c r="G41" s="804" t="n"/>
      <c r="H41" s="804" t="n"/>
      <c r="I41" s="804" t="n"/>
      <c r="J41" s="804" t="n"/>
      <c r="K41" s="804" t="n"/>
      <c r="M41" s="891" t="n"/>
      <c r="N41" s="891" t="n"/>
      <c r="O41" s="891" t="n"/>
      <c r="P41" s="892" t="n"/>
    </row>
    <row r="42" ht="15.75" customHeight="1" s="614">
      <c r="A42" s="780" t="n"/>
      <c r="B42" s="668" t="n"/>
      <c r="C42" s="647" t="n"/>
      <c r="D42" s="944" t="inlineStr">
        <is>
          <t>指示状況の確認</t>
        </is>
      </c>
      <c r="E42" s="945" t="n"/>
      <c r="F42" s="946" t="n"/>
      <c r="G42" s="936" t="n"/>
      <c r="H42" s="936" t="n"/>
      <c r="I42" s="936" t="n"/>
      <c r="J42" s="936" t="n"/>
      <c r="K42" s="936" t="n"/>
      <c r="M42" s="891" t="n"/>
      <c r="N42" s="891" t="n"/>
      <c r="O42" s="891" t="n"/>
      <c r="P42" s="892" t="n"/>
    </row>
    <row r="43" ht="15.75" customHeight="1" s="614">
      <c r="A43" s="780" t="n"/>
      <c r="B43" s="657" t="n"/>
      <c r="C43" s="654" t="n"/>
      <c r="D43" s="947" t="inlineStr">
        <is>
          <t>ＤＯ値</t>
        </is>
      </c>
      <c r="E43" s="692" t="n"/>
      <c r="F43" s="948" t="inlineStr">
        <is>
          <t>㎎/ℓ</t>
        </is>
      </c>
      <c r="G43" s="949" t="n"/>
      <c r="H43" s="949" t="n"/>
      <c r="I43" s="949" t="n"/>
      <c r="J43" s="949" t="n"/>
      <c r="K43" s="949" t="n"/>
      <c r="M43" s="891" t="n"/>
      <c r="N43" s="891" t="n"/>
      <c r="O43" s="891" t="n"/>
      <c r="P43" s="892" t="n"/>
    </row>
    <row r="44" ht="15.75" customHeight="1" s="614">
      <c r="A44" s="780" t="n"/>
      <c r="B44" s="772" t="inlineStr">
        <is>
          <t>返送汚泥流量計</t>
        </is>
      </c>
      <c r="C44" s="640" t="n"/>
      <c r="D44" s="942" t="inlineStr">
        <is>
          <t>外観の確認</t>
        </is>
      </c>
      <c r="E44" s="688" t="n"/>
      <c r="F44" s="950" t="n"/>
      <c r="G44" s="804" t="n"/>
      <c r="H44" s="804" t="n"/>
      <c r="I44" s="804" t="n"/>
      <c r="J44" s="804" t="n"/>
      <c r="K44" s="804" t="n"/>
      <c r="M44" s="891" t="n"/>
      <c r="N44" s="891" t="n"/>
      <c r="O44" s="891" t="n"/>
      <c r="P44" s="892" t="n"/>
    </row>
    <row r="45" ht="15.75" customHeight="1" s="614">
      <c r="A45" s="780" t="n"/>
      <c r="B45" s="668" t="n"/>
      <c r="C45" s="647" t="n"/>
      <c r="D45" s="944" t="inlineStr">
        <is>
          <t>指示状況の確認</t>
        </is>
      </c>
      <c r="E45" s="945" t="n"/>
      <c r="F45" s="951" t="n"/>
      <c r="G45" s="936" t="n"/>
      <c r="H45" s="936" t="n"/>
      <c r="I45" s="936" t="n"/>
      <c r="J45" s="936" t="n"/>
      <c r="K45" s="936" t="n"/>
      <c r="M45" s="891" t="n"/>
      <c r="N45" s="891" t="n"/>
      <c r="O45" s="891" t="n"/>
      <c r="P45" s="892" t="n"/>
    </row>
    <row r="46" ht="15.75" customHeight="1" s="614">
      <c r="A46" s="780" t="n"/>
      <c r="B46" s="668" t="n"/>
      <c r="C46" s="647" t="n"/>
      <c r="D46" s="944" t="inlineStr">
        <is>
          <t>流量計の読み</t>
        </is>
      </c>
      <c r="E46" s="945" t="n"/>
      <c r="F46" s="952" t="inlineStr">
        <is>
          <t>㎥/ｈ</t>
        </is>
      </c>
      <c r="G46" s="953" t="n"/>
      <c r="H46" s="953" t="n"/>
      <c r="I46" s="953" t="n"/>
      <c r="J46" s="953" t="n"/>
      <c r="K46" s="953" t="n"/>
      <c r="M46" s="891" t="n"/>
      <c r="N46" s="891" t="n"/>
      <c r="O46" s="891" t="n"/>
      <c r="P46" s="892" t="n"/>
    </row>
    <row r="47" ht="15.75" customHeight="1" s="614">
      <c r="A47" s="780" t="n"/>
      <c r="B47" s="657" t="n"/>
      <c r="C47" s="654" t="n"/>
      <c r="D47" s="947" t="inlineStr">
        <is>
          <t>流量計積算計読み</t>
        </is>
      </c>
      <c r="E47" s="692" t="n"/>
      <c r="F47" s="954" t="inlineStr">
        <is>
          <t>㎥</t>
        </is>
      </c>
      <c r="G47" s="955" t="n"/>
      <c r="H47" s="955" t="n"/>
      <c r="I47" s="955" t="n"/>
      <c r="J47" s="955" t="n"/>
      <c r="K47" s="955" t="n"/>
      <c r="M47" s="891" t="n"/>
      <c r="N47" s="891" t="n"/>
      <c r="O47" s="891" t="n"/>
      <c r="P47" s="892" t="n"/>
    </row>
    <row r="48" ht="15.75" customHeight="1" s="614">
      <c r="A48" s="780" t="n"/>
      <c r="B48" s="772" t="inlineStr">
        <is>
          <t>余剰汚泥流量計</t>
        </is>
      </c>
      <c r="C48" s="640" t="n"/>
      <c r="D48" s="942" t="inlineStr">
        <is>
          <t>外観の確認</t>
        </is>
      </c>
      <c r="E48" s="688" t="n"/>
      <c r="F48" s="956" t="n"/>
      <c r="G48" s="928" t="n"/>
      <c r="H48" s="928" t="n"/>
      <c r="I48" s="928" t="n"/>
      <c r="J48" s="928" t="n"/>
      <c r="K48" s="928" t="n"/>
      <c r="M48" s="891" t="n"/>
      <c r="N48" s="891" t="n"/>
      <c r="O48" s="891" t="n"/>
      <c r="P48" s="892" t="n"/>
    </row>
    <row r="49" ht="15.75" customHeight="1" s="614">
      <c r="A49" s="780" t="n"/>
      <c r="B49" s="668" t="n"/>
      <c r="C49" s="647" t="n"/>
      <c r="D49" s="944" t="inlineStr">
        <is>
          <t>指示状況の確認</t>
        </is>
      </c>
      <c r="E49" s="945" t="n"/>
      <c r="F49" s="957" t="n"/>
      <c r="G49" s="958" t="n"/>
      <c r="H49" s="958" t="n"/>
      <c r="I49" s="958" t="n"/>
      <c r="J49" s="958" t="n"/>
      <c r="K49" s="958" t="n"/>
      <c r="M49" s="891" t="n"/>
      <c r="N49" s="891" t="n"/>
      <c r="O49" s="891" t="n"/>
      <c r="P49" s="892" t="n"/>
    </row>
    <row r="50" ht="15.75" customHeight="1" s="614">
      <c r="A50" s="780" t="n"/>
      <c r="B50" s="668" t="n"/>
      <c r="C50" s="647" t="n"/>
      <c r="D50" s="959" t="inlineStr">
        <is>
          <t>No.１余剰汚泥ポンプ流量計読み</t>
        </is>
      </c>
      <c r="E50" s="945" t="n"/>
      <c r="F50" s="960" t="inlineStr">
        <is>
          <t>㎥/ｈ</t>
        </is>
      </c>
      <c r="G50" s="961" t="n"/>
      <c r="H50" s="961" t="n"/>
      <c r="I50" s="961" t="n"/>
      <c r="J50" s="961" t="n"/>
      <c r="K50" s="961" t="n"/>
      <c r="M50" s="891" t="n"/>
      <c r="N50" s="891" t="n"/>
      <c r="O50" s="891" t="n"/>
      <c r="P50" s="892" t="n"/>
    </row>
    <row r="51" ht="15.75" customHeight="1" s="614">
      <c r="A51" s="780" t="n"/>
      <c r="B51" s="657" t="n"/>
      <c r="C51" s="654" t="n"/>
      <c r="D51" s="947" t="inlineStr">
        <is>
          <t>流量計積算読み</t>
        </is>
      </c>
      <c r="E51" s="692" t="n"/>
      <c r="F51" s="962" t="inlineStr">
        <is>
          <t>㎥</t>
        </is>
      </c>
      <c r="G51" s="963" t="n"/>
      <c r="H51" s="963" t="n"/>
      <c r="I51" s="963" t="n"/>
      <c r="J51" s="963" t="n"/>
      <c r="K51" s="963" t="n"/>
      <c r="M51" s="891" t="n"/>
      <c r="N51" s="891" t="n"/>
      <c r="O51" s="891" t="n"/>
      <c r="P51" s="892" t="n"/>
    </row>
    <row r="52" ht="15.75" customHeight="1" s="614">
      <c r="A52" s="780" t="n"/>
      <c r="B52" s="772" t="inlineStr">
        <is>
          <t>放流流量計</t>
        </is>
      </c>
      <c r="C52" s="640" t="n"/>
      <c r="D52" s="942" t="inlineStr">
        <is>
          <t>外観の確認</t>
        </is>
      </c>
      <c r="E52" s="688" t="n"/>
      <c r="F52" s="943" t="n"/>
      <c r="G52" s="964" t="n"/>
      <c r="H52" s="964" t="n"/>
      <c r="I52" s="964" t="n"/>
      <c r="J52" s="964" t="n"/>
      <c r="K52" s="964" t="n"/>
      <c r="M52" s="891" t="n"/>
      <c r="N52" s="891" t="n"/>
      <c r="O52" s="891" t="n"/>
      <c r="P52" s="892" t="n"/>
    </row>
    <row r="53" ht="15.75" customHeight="1" s="614">
      <c r="A53" s="780" t="n"/>
      <c r="B53" s="668" t="n"/>
      <c r="C53" s="647" t="n"/>
      <c r="D53" s="944" t="inlineStr">
        <is>
          <t>指示状況の確認</t>
        </is>
      </c>
      <c r="E53" s="945" t="n"/>
      <c r="F53" s="960" t="n"/>
      <c r="G53" s="965" t="n"/>
      <c r="H53" s="965" t="n"/>
      <c r="I53" s="965" t="n"/>
      <c r="J53" s="965" t="n"/>
      <c r="K53" s="965" t="n"/>
      <c r="M53" s="891" t="n"/>
      <c r="N53" s="891" t="n"/>
      <c r="O53" s="891" t="n"/>
      <c r="P53" s="892" t="n"/>
    </row>
    <row r="54" ht="15.75" customHeight="1" s="614">
      <c r="A54" s="780" t="n"/>
      <c r="B54" s="668" t="n"/>
      <c r="C54" s="647" t="n"/>
      <c r="D54" s="944" t="inlineStr">
        <is>
          <t>流量計の読み</t>
        </is>
      </c>
      <c r="E54" s="945" t="n"/>
      <c r="F54" s="960" t="inlineStr">
        <is>
          <t>㎥/ｈ</t>
        </is>
      </c>
      <c r="G54" s="961" t="n"/>
      <c r="H54" s="961" t="n"/>
      <c r="I54" s="961" t="n"/>
      <c r="J54" s="961" t="n"/>
      <c r="K54" s="961" t="n"/>
      <c r="M54" s="891" t="n"/>
      <c r="N54" s="891" t="n"/>
      <c r="O54" s="891" t="n"/>
      <c r="P54" s="892" t="n"/>
    </row>
    <row r="55" ht="15.75" customHeight="1" s="614">
      <c r="A55" s="780" t="n"/>
      <c r="B55" s="657" t="n"/>
      <c r="C55" s="654" t="n"/>
      <c r="D55" s="947" t="inlineStr">
        <is>
          <t>流量計積算の読み</t>
        </is>
      </c>
      <c r="E55" s="692" t="n"/>
      <c r="F55" s="962" t="inlineStr">
        <is>
          <t>㎥</t>
        </is>
      </c>
      <c r="G55" s="966" t="n"/>
      <c r="H55" s="966" t="n"/>
      <c r="I55" s="966" t="n"/>
      <c r="J55" s="966" t="n"/>
      <c r="K55" s="966" t="n"/>
      <c r="M55" s="891" t="n"/>
      <c r="N55" s="891" t="n"/>
      <c r="O55" s="891" t="n"/>
      <c r="P55" s="892" t="n"/>
    </row>
    <row r="56" ht="15.75" customHeight="1" s="614">
      <c r="A56" s="780" t="n"/>
      <c r="B56" s="967" t="inlineStr">
        <is>
          <t>汚濁負荷量計</t>
        </is>
      </c>
      <c r="C56" s="640" t="n"/>
      <c r="D56" s="942" t="inlineStr">
        <is>
          <t>外観の確認</t>
        </is>
      </c>
      <c r="E56" s="688" t="n"/>
      <c r="F56" s="943" t="n"/>
      <c r="G56" s="964" t="n"/>
      <c r="H56" s="964" t="n"/>
      <c r="I56" s="964" t="n"/>
      <c r="J56" s="964" t="n"/>
      <c r="K56" s="964" t="n"/>
      <c r="M56" s="891" t="n"/>
      <c r="N56" s="891" t="n"/>
      <c r="O56" s="891" t="n"/>
      <c r="P56" s="892" t="n"/>
    </row>
    <row r="57" ht="15.75" customHeight="1" s="614">
      <c r="A57" s="780" t="n"/>
      <c r="B57" s="668" t="n"/>
      <c r="C57" s="647" t="n"/>
      <c r="D57" s="944" t="inlineStr">
        <is>
          <t>指示状況の確認</t>
        </is>
      </c>
      <c r="E57" s="945" t="n"/>
      <c r="F57" s="960" t="n"/>
      <c r="G57" s="968" t="n"/>
      <c r="H57" s="968" t="n"/>
      <c r="I57" s="968" t="n"/>
      <c r="J57" s="968" t="n"/>
      <c r="K57" s="968" t="n"/>
      <c r="M57" s="891" t="n"/>
      <c r="N57" s="891" t="n"/>
      <c r="O57" s="891" t="n"/>
      <c r="P57" s="892" t="n"/>
    </row>
    <row r="58" ht="15.75" customHeight="1" s="614">
      <c r="A58" s="780" t="n"/>
      <c r="B58" s="969" t="inlineStr">
        <is>
          <t>（放流水ＵＶ）</t>
        </is>
      </c>
      <c r="C58" s="647" t="n"/>
      <c r="D58" s="944" t="inlineStr">
        <is>
          <t>ＵＶ値</t>
        </is>
      </c>
      <c r="E58" s="945" t="n"/>
      <c r="F58" s="970" t="inlineStr">
        <is>
          <t>Abs</t>
        </is>
      </c>
      <c r="G58" s="971" t="n"/>
      <c r="H58" s="971" t="n"/>
      <c r="I58" s="971" t="n"/>
      <c r="J58" s="971" t="n"/>
      <c r="K58" s="971" t="n"/>
      <c r="M58" s="891" t="n"/>
      <c r="N58" s="891" t="n"/>
      <c r="O58" s="891" t="n"/>
      <c r="P58" s="892" t="n"/>
    </row>
    <row r="59" ht="15.75" customHeight="1" s="614">
      <c r="A59" s="780" t="n"/>
      <c r="B59" s="657" t="n"/>
      <c r="C59" s="654" t="n"/>
      <c r="D59" s="947" t="inlineStr">
        <is>
          <t>ＣＯＤ値</t>
        </is>
      </c>
      <c r="E59" s="692" t="n"/>
      <c r="F59" s="962" t="inlineStr">
        <is>
          <t>㎎/ℓ</t>
        </is>
      </c>
      <c r="G59" s="972" t="n"/>
      <c r="H59" s="972" t="n"/>
      <c r="I59" s="972" t="n"/>
      <c r="J59" s="972" t="n"/>
      <c r="K59" s="972" t="n"/>
      <c r="M59" s="891" t="n"/>
      <c r="N59" s="891" t="n"/>
      <c r="O59" s="891" t="n"/>
      <c r="P59" s="892" t="n"/>
    </row>
    <row r="60" ht="15.75" customHeight="1" s="614">
      <c r="A60" s="780" t="n"/>
      <c r="B60" s="772" t="inlineStr">
        <is>
          <t>全窒素・全燐計</t>
        </is>
      </c>
      <c r="C60" s="640" t="n"/>
      <c r="D60" s="942" t="inlineStr">
        <is>
          <t>外観の確認</t>
        </is>
      </c>
      <c r="E60" s="688" t="n"/>
      <c r="F60" s="943" t="n"/>
      <c r="G60" s="804" t="n"/>
      <c r="H60" s="804" t="n"/>
      <c r="I60" s="804" t="n"/>
      <c r="J60" s="804" t="n"/>
      <c r="K60" s="804" t="n"/>
      <c r="M60" s="891" t="n"/>
      <c r="N60" s="891" t="n"/>
      <c r="O60" s="891" t="n"/>
      <c r="P60" s="892" t="n"/>
    </row>
    <row r="61" ht="15.75" customHeight="1" s="614">
      <c r="A61" s="780" t="n"/>
      <c r="B61" s="668" t="n"/>
      <c r="C61" s="647" t="n"/>
      <c r="D61" s="944" t="inlineStr">
        <is>
          <t>指示状況の確認</t>
        </is>
      </c>
      <c r="E61" s="945" t="n"/>
      <c r="F61" s="960" t="n"/>
      <c r="G61" s="936" t="n"/>
      <c r="H61" s="936" t="n"/>
      <c r="I61" s="936" t="n"/>
      <c r="J61" s="936" t="n"/>
      <c r="K61" s="936" t="n"/>
      <c r="M61" s="891" t="n"/>
      <c r="N61" s="891" t="n"/>
      <c r="O61" s="891" t="n"/>
      <c r="P61" s="892" t="n"/>
    </row>
    <row r="62" ht="15.75" customHeight="1" s="614">
      <c r="A62" s="780" t="n"/>
      <c r="B62" s="668" t="n"/>
      <c r="C62" s="647" t="n"/>
      <c r="D62" s="944" t="inlineStr">
        <is>
          <t>計器読み（全窒素）</t>
        </is>
      </c>
      <c r="E62" s="945" t="n"/>
      <c r="F62" s="960" t="inlineStr">
        <is>
          <t>㎎/ℓ</t>
        </is>
      </c>
      <c r="G62" s="973" t="n"/>
      <c r="H62" s="973" t="n"/>
      <c r="I62" s="973" t="n"/>
      <c r="J62" s="973" t="n"/>
      <c r="K62" s="973" t="n"/>
      <c r="M62" s="891" t="n"/>
      <c r="N62" s="891" t="n"/>
      <c r="O62" s="891" t="n"/>
      <c r="P62" s="892" t="n"/>
    </row>
    <row r="63" ht="15.75" customHeight="1" s="614">
      <c r="A63" s="780" t="n"/>
      <c r="B63" s="657" t="n"/>
      <c r="C63" s="654" t="n"/>
      <c r="D63" s="947" t="inlineStr">
        <is>
          <t>計器読み（全りん）</t>
        </is>
      </c>
      <c r="E63" s="692" t="n"/>
      <c r="F63" s="948" t="inlineStr">
        <is>
          <t>㎎/ℓ</t>
        </is>
      </c>
      <c r="G63" s="972" t="n"/>
      <c r="H63" s="972" t="n"/>
      <c r="I63" s="972" t="n"/>
      <c r="J63" s="972" t="n"/>
      <c r="K63" s="972" t="n"/>
      <c r="M63" s="891" t="n"/>
      <c r="N63" s="891" t="n"/>
      <c r="O63" s="891" t="n"/>
      <c r="P63" s="892" t="n"/>
    </row>
    <row r="64" ht="15.75" customHeight="1" s="614">
      <c r="A64" s="780" t="n"/>
      <c r="B64" s="878" t="inlineStr">
        <is>
          <t>圧力式液位計</t>
        </is>
      </c>
      <c r="C64" s="640" t="n"/>
      <c r="D64" s="942" t="inlineStr">
        <is>
          <t>外観の確認</t>
        </is>
      </c>
      <c r="E64" s="974" t="n"/>
      <c r="F64" s="943" t="n"/>
      <c r="G64" s="804" t="n"/>
      <c r="H64" s="804" t="n"/>
      <c r="I64" s="804" t="n"/>
      <c r="J64" s="804" t="n"/>
      <c r="K64" s="804" t="n"/>
      <c r="M64" s="891" t="n"/>
      <c r="N64" s="891" t="n"/>
      <c r="O64" s="891" t="n"/>
      <c r="P64" s="892" t="n"/>
    </row>
    <row r="65" ht="15.75" customHeight="1" s="614">
      <c r="A65" s="780" t="n"/>
      <c r="B65" s="668" t="n"/>
      <c r="C65" s="647" t="n"/>
      <c r="D65" s="944" t="inlineStr">
        <is>
          <t>指示状況の確認</t>
        </is>
      </c>
      <c r="E65" s="975" t="n"/>
      <c r="F65" s="960" t="n"/>
      <c r="G65" s="936" t="n"/>
      <c r="H65" s="936" t="n"/>
      <c r="I65" s="936" t="n"/>
      <c r="J65" s="936" t="n"/>
      <c r="K65" s="936" t="n"/>
      <c r="M65" s="891" t="n"/>
      <c r="N65" s="891" t="n"/>
      <c r="O65" s="891" t="n"/>
      <c r="P65" s="892" t="n"/>
    </row>
    <row r="66" ht="15.75" customHeight="1" s="614">
      <c r="A66" s="769" t="n"/>
      <c r="B66" s="657" t="n"/>
      <c r="C66" s="654" t="n"/>
      <c r="D66" s="947" t="inlineStr">
        <is>
          <t>機器指示地の記録</t>
        </is>
      </c>
      <c r="E66" s="976" t="n"/>
      <c r="F66" s="948" t="inlineStr">
        <is>
          <t>ｍ</t>
        </is>
      </c>
      <c r="G66" s="940" t="n"/>
      <c r="H66" s="940" t="n"/>
      <c r="I66" s="940" t="n"/>
      <c r="J66" s="940" t="n"/>
      <c r="K66" s="940" t="n"/>
      <c r="M66" s="891" t="n"/>
      <c r="N66" s="891" t="n"/>
      <c r="O66" s="891" t="n"/>
      <c r="P66" s="892" t="n"/>
    </row>
    <row r="67" ht="15.75" customHeight="1" s="614">
      <c r="A67" s="977" t="inlineStr">
        <is>
          <t>発電機設備</t>
        </is>
      </c>
      <c r="B67" s="832" t="inlineStr">
        <is>
          <t>発電機盤</t>
        </is>
      </c>
      <c r="C67" s="627" t="n"/>
      <c r="D67" s="773" t="inlineStr">
        <is>
          <t>外観の確認</t>
        </is>
      </c>
      <c r="E67" s="626" t="n"/>
      <c r="F67" s="805" t="n"/>
      <c r="G67" s="768" t="n"/>
      <c r="H67" s="768" t="n"/>
      <c r="I67" s="768" t="n"/>
      <c r="J67" s="768" t="n"/>
      <c r="K67" s="768" t="n"/>
      <c r="M67" s="891" t="n"/>
      <c r="N67" s="891" t="n"/>
      <c r="O67" s="891" t="n"/>
      <c r="P67" s="892" t="n"/>
    </row>
    <row r="68" ht="15.75" customHeight="1" s="614">
      <c r="A68" s="780" t="n"/>
      <c r="B68" s="832" t="inlineStr">
        <is>
          <t>燃料タンク</t>
        </is>
      </c>
      <c r="C68" s="640" t="n"/>
      <c r="D68" s="942" t="inlineStr">
        <is>
          <t>外観の確認</t>
        </is>
      </c>
      <c r="E68" s="688" t="n"/>
      <c r="F68" s="943" t="n"/>
      <c r="G68" s="804" t="n"/>
      <c r="H68" s="804" t="n"/>
      <c r="I68" s="804" t="n"/>
      <c r="J68" s="804" t="n"/>
      <c r="K68" s="804" t="n"/>
      <c r="M68" s="891" t="n"/>
      <c r="N68" s="891" t="n"/>
      <c r="O68" s="891" t="n"/>
      <c r="P68" s="892" t="n"/>
    </row>
    <row r="69" ht="15.75" customHeight="1" s="614">
      <c r="A69" s="769" t="n"/>
      <c r="B69" s="657" t="n"/>
      <c r="C69" s="654" t="n"/>
      <c r="D69" s="947" t="inlineStr">
        <is>
          <t>残量の値</t>
        </is>
      </c>
      <c r="E69" s="692" t="n"/>
      <c r="F69" s="978" t="inlineStr">
        <is>
          <t>ℓ</t>
        </is>
      </c>
      <c r="G69" s="979" t="n"/>
      <c r="H69" s="979" t="n"/>
      <c r="I69" s="979" t="n"/>
      <c r="J69" s="979" t="n"/>
      <c r="K69" s="979" t="n"/>
      <c r="M69" s="891" t="n"/>
      <c r="N69" s="891" t="n"/>
      <c r="O69" s="891" t="n"/>
      <c r="P69" s="892" t="n"/>
    </row>
    <row r="70" ht="15.75" customHeight="1" s="614">
      <c r="A70" s="931" t="inlineStr">
        <is>
          <t>他</t>
        </is>
      </c>
      <c r="B70" s="832" t="inlineStr">
        <is>
          <t>通報装置</t>
        </is>
      </c>
      <c r="C70" s="627" t="n"/>
      <c r="D70" s="773" t="inlineStr">
        <is>
          <t>通報状態の確認</t>
        </is>
      </c>
      <c r="E70" s="626" t="n"/>
      <c r="F70" s="805" t="n"/>
      <c r="G70" s="804" t="n"/>
      <c r="H70" s="804" t="n"/>
      <c r="I70" s="804" t="n"/>
      <c r="J70" s="804" t="n"/>
      <c r="K70" s="804" t="n"/>
      <c r="M70" s="891" t="n"/>
      <c r="N70" s="891" t="n"/>
      <c r="O70" s="891" t="n"/>
      <c r="P70" s="892" t="n"/>
    </row>
    <row r="71" ht="16.5" customHeight="1" s="614">
      <c r="A71" s="980" t="n"/>
      <c r="B71" s="849" t="inlineStr">
        <is>
          <t>○：良　　△：要注意　　×要修理</t>
        </is>
      </c>
      <c r="C71" s="849" t="n"/>
      <c r="D71" s="849" t="n"/>
      <c r="E71" s="849" t="n"/>
      <c r="F71" s="981" t="n"/>
      <c r="G71" s="981" t="n"/>
      <c r="H71" s="981" t="n"/>
      <c r="I71" s="981" t="n"/>
      <c r="J71" s="981" t="n"/>
      <c r="K71" s="981" t="n"/>
      <c r="M71" s="891" t="n"/>
      <c r="N71" s="891" t="n"/>
      <c r="O71" s="891" t="n"/>
      <c r="P71" s="892" t="n"/>
    </row>
    <row r="72" ht="21" customHeight="1" s="614">
      <c r="A72" s="764" t="inlineStr">
        <is>
          <t xml:space="preserve">　電気設備日常点検（１/２）</t>
        </is>
      </c>
      <c r="K72" s="839">
        <f>日常機械設備!K1</f>
        <v/>
      </c>
      <c r="M72" s="891" t="n"/>
      <c r="N72" s="891" t="n"/>
      <c r="O72" s="891" t="n"/>
      <c r="P72" s="892" t="n"/>
    </row>
    <row r="73" ht="13.5" customHeight="1" s="614">
      <c r="G73" s="875" t="n"/>
      <c r="H73" s="875" t="n"/>
      <c r="I73" s="875" t="n"/>
      <c r="J73" s="875" t="n"/>
      <c r="K73" s="771" t="n"/>
      <c r="M73" s="891" t="n"/>
      <c r="N73" s="891" t="n"/>
      <c r="O73" s="891" t="n"/>
      <c r="P73" s="892" t="n"/>
    </row>
    <row r="74" ht="17.25" customHeight="1" s="614">
      <c r="A74" s="893" t="inlineStr">
        <is>
          <t>電　　　　　気　　　　　室</t>
        </is>
      </c>
      <c r="B74" s="893" t="inlineStr">
        <is>
          <t>引込・受電</t>
        </is>
      </c>
      <c r="C74" s="832" t="inlineStr">
        <is>
          <t>電圧</t>
        </is>
      </c>
      <c r="D74" s="639" t="n"/>
      <c r="E74" s="640" t="n"/>
      <c r="F74" s="894" t="inlineStr">
        <is>
          <t>KV</t>
        </is>
      </c>
      <c r="G74" s="895" t="n"/>
      <c r="H74" s="895" t="n"/>
      <c r="I74" s="895" t="n"/>
      <c r="J74" s="804" t="n"/>
      <c r="K74" s="804" t="n"/>
      <c r="M74" s="891" t="n"/>
      <c r="N74" s="891" t="n"/>
      <c r="O74" s="891" t="n"/>
      <c r="P74" s="892" t="n"/>
    </row>
    <row r="75" ht="17.25" customHeight="1" s="614">
      <c r="A75" s="780" t="n"/>
      <c r="B75" s="780" t="n"/>
      <c r="C75" s="657" t="n"/>
      <c r="D75" s="653" t="n"/>
      <c r="E75" s="654" t="n"/>
      <c r="F75" s="896" t="inlineStr">
        <is>
          <t>モード</t>
        </is>
      </c>
      <c r="G75" s="897" t="n"/>
      <c r="H75" s="897" t="n"/>
      <c r="I75" s="897" t="n"/>
      <c r="J75" s="897" t="n"/>
      <c r="K75" s="897" t="n"/>
      <c r="M75" s="891" t="n"/>
      <c r="N75" s="891" t="n"/>
      <c r="O75" s="891" t="n"/>
      <c r="P75" s="892" t="n"/>
    </row>
    <row r="76" ht="17.25" customHeight="1" s="614">
      <c r="A76" s="780" t="n"/>
      <c r="B76" s="780" t="n"/>
      <c r="C76" s="832" t="inlineStr">
        <is>
          <t>力率</t>
        </is>
      </c>
      <c r="D76" s="626" t="n"/>
      <c r="E76" s="627" t="n"/>
      <c r="F76" s="898" t="inlineStr">
        <is>
          <t>ψ</t>
        </is>
      </c>
      <c r="G76" s="899" t="n"/>
      <c r="H76" s="899" t="n"/>
      <c r="I76" s="899" t="n"/>
      <c r="J76" s="900" t="n"/>
      <c r="K76" s="900" t="n"/>
      <c r="M76" s="891" t="n"/>
      <c r="N76" s="891" t="n"/>
      <c r="O76" s="891" t="n"/>
      <c r="P76" s="892" t="n"/>
    </row>
    <row r="77" ht="17.25" customHeight="1" s="614">
      <c r="A77" s="780" t="n"/>
      <c r="B77" s="780" t="n"/>
      <c r="C77" s="832" t="inlineStr">
        <is>
          <t>電流</t>
        </is>
      </c>
      <c r="D77" s="639" t="n"/>
      <c r="E77" s="640" t="n"/>
      <c r="F77" s="894" t="inlineStr">
        <is>
          <t>A</t>
        </is>
      </c>
      <c r="G77" s="901" t="n"/>
      <c r="H77" s="901" t="n"/>
      <c r="I77" s="901" t="n"/>
      <c r="J77" s="902" t="n"/>
      <c r="K77" s="902" t="n"/>
      <c r="M77" s="891" t="n"/>
      <c r="N77" s="891" t="n"/>
      <c r="O77" s="891" t="n"/>
      <c r="P77" s="892" t="n"/>
    </row>
    <row r="78" ht="17.25" customHeight="1" s="614">
      <c r="A78" s="780" t="n"/>
      <c r="B78" s="780" t="n"/>
      <c r="C78" s="657" t="n"/>
      <c r="D78" s="653" t="n"/>
      <c r="E78" s="654" t="n"/>
      <c r="F78" s="896" t="inlineStr">
        <is>
          <t>モード</t>
        </is>
      </c>
      <c r="G78" s="897" t="n"/>
      <c r="H78" s="897" t="n"/>
      <c r="I78" s="897" t="n"/>
      <c r="J78" s="897" t="n"/>
      <c r="K78" s="897" t="n"/>
      <c r="M78" s="891" t="n"/>
      <c r="N78" s="891" t="n"/>
      <c r="O78" s="891" t="n"/>
      <c r="P78" s="892" t="n"/>
    </row>
    <row r="79" ht="17.25" customHeight="1" s="614">
      <c r="A79" s="780" t="n"/>
      <c r="B79" s="780" t="n"/>
      <c r="C79" s="832" t="inlineStr">
        <is>
          <t>普通電力量（×１０ｋw）</t>
        </is>
      </c>
      <c r="D79" s="639" t="n"/>
      <c r="E79" s="640" t="n"/>
      <c r="F79" s="903" t="inlineStr">
        <is>
          <t>読み</t>
        </is>
      </c>
      <c r="G79" s="901" t="n"/>
      <c r="H79" s="901" t="n"/>
      <c r="I79" s="901" t="n"/>
      <c r="J79" s="902" t="n"/>
      <c r="K79" s="902" t="n"/>
      <c r="M79" s="891" t="n"/>
      <c r="N79" s="904" t="n"/>
      <c r="O79" s="891" t="n"/>
      <c r="P79" s="892" t="n"/>
    </row>
    <row r="80" ht="17.25" customHeight="1" s="614">
      <c r="A80" s="780" t="n"/>
      <c r="B80" s="780" t="n"/>
      <c r="C80" s="657" t="n"/>
      <c r="D80" s="653" t="n"/>
      <c r="E80" s="654" t="n"/>
      <c r="F80" s="896" t="inlineStr">
        <is>
          <t>使用量</t>
        </is>
      </c>
      <c r="G80" s="905" t="n"/>
      <c r="H80" s="905" t="n"/>
      <c r="I80" s="905" t="n"/>
      <c r="J80" s="906" t="n"/>
      <c r="K80" s="906" t="n"/>
      <c r="M80" s="891" t="n"/>
      <c r="N80" s="891" t="n"/>
      <c r="O80" s="891" t="n"/>
      <c r="P80" s="892" t="n"/>
    </row>
    <row r="81" ht="17.25" customHeight="1" s="614">
      <c r="A81" s="780" t="n"/>
      <c r="B81" s="780" t="n"/>
      <c r="C81" s="832" t="inlineStr">
        <is>
          <t>引込・受電設定</t>
        </is>
      </c>
      <c r="D81" s="639" t="n"/>
      <c r="E81" s="640" t="n"/>
      <c r="F81" s="903" t="inlineStr">
        <is>
          <t>手動/自動</t>
        </is>
      </c>
      <c r="G81" s="907" t="n"/>
      <c r="H81" s="907" t="n"/>
      <c r="I81" s="907" t="n"/>
      <c r="J81" s="908" t="n"/>
      <c r="K81" s="908" t="n"/>
      <c r="M81" s="904" t="n"/>
      <c r="N81" s="904" t="n"/>
      <c r="O81" s="891" t="n"/>
      <c r="P81" s="892" t="n"/>
    </row>
    <row r="82" ht="17.25" customHeight="1" s="614">
      <c r="A82" s="780" t="n"/>
      <c r="B82" s="769" t="n"/>
      <c r="C82" s="657" t="n"/>
      <c r="D82" s="653" t="n"/>
      <c r="E82" s="654" t="n"/>
      <c r="F82" s="896" t="inlineStr">
        <is>
          <t>切/入</t>
        </is>
      </c>
      <c r="G82" s="909" t="n"/>
      <c r="H82" s="909" t="n"/>
      <c r="I82" s="909" t="n"/>
      <c r="J82" s="910" t="n"/>
      <c r="K82" s="910" t="n"/>
      <c r="M82" s="904" t="n"/>
      <c r="N82" s="904" t="n"/>
      <c r="O82" s="891" t="n"/>
      <c r="P82" s="892" t="n"/>
    </row>
    <row r="83" ht="17.25" customHeight="1" s="614">
      <c r="A83" s="780" t="n"/>
      <c r="B83" s="911" t="inlineStr">
        <is>
          <t>変圧器</t>
        </is>
      </c>
      <c r="C83" s="912" t="inlineStr">
        <is>
          <t>主変圧器温度</t>
        </is>
      </c>
      <c r="D83" s="639" t="n"/>
      <c r="E83" s="640" t="n"/>
      <c r="F83" s="894" t="inlineStr">
        <is>
          <t>℃</t>
        </is>
      </c>
      <c r="G83" s="982" t="n"/>
      <c r="H83" s="982" t="n"/>
      <c r="I83" s="982" t="n"/>
      <c r="J83" s="913" t="n"/>
      <c r="K83" s="913" t="n"/>
      <c r="M83" s="891" t="n"/>
      <c r="N83" s="891" t="n"/>
      <c r="O83" s="891" t="n"/>
      <c r="P83" s="892" t="n"/>
    </row>
    <row r="84" ht="17.25" customHeight="1" s="614">
      <c r="A84" s="780" t="n"/>
      <c r="B84" s="769" t="n"/>
      <c r="C84" s="835" t="inlineStr">
        <is>
          <t>異音、脱臭の有無</t>
        </is>
      </c>
      <c r="D84" s="653" t="n"/>
      <c r="E84" s="654" t="n"/>
      <c r="F84" s="896" t="inlineStr">
        <is>
          <t>有・無</t>
        </is>
      </c>
      <c r="G84" s="909" t="n"/>
      <c r="H84" s="909" t="n"/>
      <c r="I84" s="909" t="n"/>
      <c r="J84" s="910" t="n"/>
      <c r="K84" s="910" t="n"/>
      <c r="M84" s="904" t="n"/>
      <c r="N84" s="904" t="n"/>
      <c r="O84" s="891" t="n"/>
      <c r="P84" s="892" t="n"/>
    </row>
    <row r="85" ht="17.25" customHeight="1" s="614">
      <c r="A85" s="780" t="n"/>
      <c r="B85" s="914" t="inlineStr">
        <is>
          <t>低　　圧　　分　　岐</t>
        </is>
      </c>
      <c r="C85" s="832" t="inlineStr">
        <is>
          <t>動力（２１０V）　電圧</t>
        </is>
      </c>
      <c r="D85" s="639" t="n"/>
      <c r="E85" s="640" t="n"/>
      <c r="F85" s="894" t="inlineStr">
        <is>
          <t>V</t>
        </is>
      </c>
      <c r="G85" s="895" t="n"/>
      <c r="H85" s="895" t="n"/>
      <c r="I85" s="895" t="n"/>
      <c r="J85" s="804" t="n"/>
      <c r="K85" s="804" t="n"/>
      <c r="M85" s="891" t="n"/>
      <c r="N85" s="891" t="n"/>
      <c r="O85" s="891" t="n"/>
      <c r="P85" s="892" t="n"/>
    </row>
    <row r="86" ht="17.25" customHeight="1" s="614">
      <c r="A86" s="780" t="n"/>
      <c r="B86" s="780" t="n"/>
      <c r="C86" s="657" t="n"/>
      <c r="D86" s="653" t="n"/>
      <c r="E86" s="654" t="n"/>
      <c r="F86" s="896" t="inlineStr">
        <is>
          <t>モード</t>
        </is>
      </c>
      <c r="G86" s="897" t="n"/>
      <c r="H86" s="897" t="n"/>
      <c r="I86" s="897" t="n"/>
      <c r="J86" s="897" t="n"/>
      <c r="K86" s="897" t="n"/>
      <c r="M86" s="891" t="n"/>
      <c r="N86" s="891" t="n"/>
      <c r="O86" s="891" t="n"/>
      <c r="P86" s="892" t="n"/>
    </row>
    <row r="87" ht="17.25" customHeight="1" s="614">
      <c r="A87" s="780" t="n"/>
      <c r="B87" s="780" t="n"/>
      <c r="C87" s="832" t="inlineStr">
        <is>
          <t>動力（２１０V）　電流</t>
        </is>
      </c>
      <c r="D87" s="639" t="n"/>
      <c r="E87" s="640" t="n"/>
      <c r="F87" s="916" t="inlineStr">
        <is>
          <t>A</t>
        </is>
      </c>
      <c r="G87" s="917" t="n"/>
      <c r="H87" s="917" t="n"/>
      <c r="I87" s="917" t="n"/>
      <c r="J87" s="918" t="n"/>
      <c r="K87" s="918" t="n"/>
      <c r="M87" s="891" t="n"/>
      <c r="N87" s="891" t="n"/>
      <c r="O87" s="891" t="n"/>
      <c r="P87" s="892" t="n"/>
    </row>
    <row r="88" ht="17.25" customHeight="1" s="614">
      <c r="A88" s="780" t="n"/>
      <c r="B88" s="780" t="n"/>
      <c r="C88" s="657" t="n"/>
      <c r="D88" s="653" t="n"/>
      <c r="E88" s="654" t="n"/>
      <c r="F88" s="919" t="inlineStr">
        <is>
          <t>モード</t>
        </is>
      </c>
      <c r="G88" s="897" t="n"/>
      <c r="H88" s="897" t="n"/>
      <c r="I88" s="897" t="n"/>
      <c r="J88" s="897" t="n"/>
      <c r="K88" s="897" t="n"/>
      <c r="M88" s="891" t="n"/>
      <c r="N88" s="891" t="n"/>
      <c r="O88" s="891" t="n"/>
      <c r="P88" s="892" t="n"/>
    </row>
    <row r="89" ht="17.25" customHeight="1" s="614">
      <c r="A89" s="780" t="n"/>
      <c r="B89" s="780" t="n"/>
      <c r="C89" s="832" t="inlineStr">
        <is>
          <t>照明(210-105V)   電流</t>
        </is>
      </c>
      <c r="D89" s="639" t="n"/>
      <c r="E89" s="640" t="n"/>
      <c r="F89" s="916" t="inlineStr">
        <is>
          <t>A</t>
        </is>
      </c>
      <c r="G89" s="917" t="n"/>
      <c r="H89" s="917" t="n"/>
      <c r="I89" s="917" t="n"/>
      <c r="J89" s="918" t="n"/>
      <c r="K89" s="918" t="n"/>
      <c r="M89" s="891" t="n"/>
      <c r="N89" s="891" t="n"/>
      <c r="O89" s="891" t="n"/>
      <c r="P89" s="892" t="n"/>
    </row>
    <row r="90" ht="17.25" customHeight="1" s="614">
      <c r="A90" s="780" t="n"/>
      <c r="B90" s="780" t="n"/>
      <c r="C90" s="657" t="n"/>
      <c r="D90" s="653" t="n"/>
      <c r="E90" s="654" t="n"/>
      <c r="F90" s="919" t="inlineStr">
        <is>
          <t>モード</t>
        </is>
      </c>
      <c r="G90" s="983" t="n"/>
      <c r="H90" s="983" t="n"/>
      <c r="I90" s="983" t="n"/>
      <c r="J90" s="983" t="n"/>
      <c r="K90" s="983" t="n"/>
      <c r="M90" s="904" t="n"/>
      <c r="N90" s="904" t="n"/>
      <c r="O90" s="904" t="n"/>
      <c r="P90" s="892" t="n"/>
    </row>
    <row r="91" ht="17.25" customHeight="1" s="614">
      <c r="A91" s="780" t="n"/>
      <c r="B91" s="780" t="n"/>
      <c r="C91" s="832" t="inlineStr">
        <is>
          <t>低圧分岐設備</t>
        </is>
      </c>
      <c r="D91" s="626" t="n"/>
      <c r="E91" s="627" t="n"/>
      <c r="F91" s="922" t="inlineStr">
        <is>
          <t>買電/自家発</t>
        </is>
      </c>
      <c r="G91" s="874" t="n"/>
      <c r="H91" s="874" t="n"/>
      <c r="I91" s="874" t="n"/>
      <c r="J91" s="767" t="n"/>
      <c r="K91" s="767" t="n"/>
      <c r="M91" s="904" t="n"/>
      <c r="N91" s="904" t="n"/>
      <c r="O91" s="891" t="n"/>
      <c r="P91" s="892" t="n"/>
    </row>
    <row r="92" ht="17.25" customHeight="1" s="614">
      <c r="A92" s="780" t="n"/>
      <c r="B92" s="780" t="n"/>
      <c r="C92" s="912" t="inlineStr">
        <is>
          <t>動力制御盤1</t>
        </is>
      </c>
      <c r="D92" s="639" t="n"/>
      <c r="E92" s="640" t="n"/>
      <c r="F92" s="923" t="inlineStr">
        <is>
          <t>読み</t>
        </is>
      </c>
      <c r="G92" s="924" t="n"/>
      <c r="H92" s="924" t="n"/>
      <c r="I92" s="924" t="n"/>
      <c r="J92" s="925" t="n"/>
      <c r="K92" s="925" t="n"/>
      <c r="M92" s="891" t="n"/>
      <c r="N92" s="891" t="n"/>
      <c r="O92" s="891" t="n"/>
      <c r="P92" s="892" t="n"/>
    </row>
    <row r="93" ht="17.25" customHeight="1" s="614">
      <c r="A93" s="780" t="n"/>
      <c r="B93" s="780" t="n"/>
      <c r="C93" s="835" t="inlineStr">
        <is>
          <t>（×１ｋｗｈ）</t>
        </is>
      </c>
      <c r="D93" s="653" t="n"/>
      <c r="E93" s="654" t="n"/>
      <c r="F93" s="896" t="inlineStr">
        <is>
          <t>使用量</t>
        </is>
      </c>
      <c r="G93" s="905" t="n"/>
      <c r="H93" s="984" t="n"/>
      <c r="I93" s="984" t="n"/>
      <c r="J93" s="926" t="n"/>
      <c r="K93" s="926" t="n"/>
      <c r="M93" s="891" t="n"/>
      <c r="N93" s="891" t="n"/>
      <c r="O93" s="891" t="n"/>
      <c r="P93" s="892" t="n"/>
    </row>
    <row r="94" ht="17.25" customHeight="1" s="614">
      <c r="A94" s="780" t="n"/>
      <c r="B94" s="780" t="n"/>
      <c r="C94" s="912" t="inlineStr">
        <is>
          <t>動力制御盤2</t>
        </is>
      </c>
      <c r="D94" s="639" t="n"/>
      <c r="E94" s="640" t="n"/>
      <c r="F94" s="923" t="inlineStr">
        <is>
          <t>読み</t>
        </is>
      </c>
      <c r="G94" s="924" t="n"/>
      <c r="H94" s="924" t="n"/>
      <c r="I94" s="924" t="n"/>
      <c r="J94" s="925" t="n"/>
      <c r="K94" s="925" t="n"/>
      <c r="M94" s="891" t="n"/>
      <c r="N94" s="891" t="n"/>
      <c r="O94" s="891" t="n"/>
      <c r="P94" s="892" t="n"/>
    </row>
    <row r="95" ht="17.25" customHeight="1" s="614">
      <c r="A95" s="780" t="n"/>
      <c r="B95" s="780" t="n"/>
      <c r="C95" s="835" t="inlineStr">
        <is>
          <t>（×１ｋｗｈ）</t>
        </is>
      </c>
      <c r="D95" s="653" t="n"/>
      <c r="E95" s="654" t="n"/>
      <c r="F95" s="896" t="inlineStr">
        <is>
          <t>使用量</t>
        </is>
      </c>
      <c r="G95" s="905" t="n"/>
      <c r="H95" s="984" t="n"/>
      <c r="I95" s="984" t="n"/>
      <c r="J95" s="926" t="n"/>
      <c r="K95" s="926" t="n"/>
      <c r="M95" s="891" t="n"/>
      <c r="N95" s="891" t="n"/>
      <c r="O95" s="891" t="n"/>
      <c r="P95" s="892" t="n"/>
    </row>
    <row r="96" ht="17.25" customHeight="1" s="614">
      <c r="A96" s="780" t="n"/>
      <c r="B96" s="780" t="n"/>
      <c r="C96" s="912" t="inlineStr">
        <is>
          <t>動力制御盤3</t>
        </is>
      </c>
      <c r="D96" s="639" t="n"/>
      <c r="E96" s="640" t="n"/>
      <c r="F96" s="923" t="inlineStr">
        <is>
          <t>読み</t>
        </is>
      </c>
      <c r="G96" s="917" t="n"/>
      <c r="H96" s="917" t="n"/>
      <c r="I96" s="917" t="n"/>
      <c r="J96" s="918" t="n"/>
      <c r="K96" s="918" t="n"/>
      <c r="M96" s="891" t="n"/>
      <c r="N96" s="891" t="n"/>
      <c r="O96" s="891" t="n"/>
      <c r="P96" s="892" t="n"/>
    </row>
    <row r="97" ht="17.25" customHeight="1" s="614">
      <c r="A97" s="780" t="n"/>
      <c r="B97" s="780" t="n"/>
      <c r="C97" s="835" t="inlineStr">
        <is>
          <t>（×１ｋｗｈ）</t>
        </is>
      </c>
      <c r="D97" s="653" t="n"/>
      <c r="E97" s="654" t="n"/>
      <c r="F97" s="896" t="inlineStr">
        <is>
          <t>使用量</t>
        </is>
      </c>
      <c r="G97" s="905" t="n"/>
      <c r="H97" s="984" t="n"/>
      <c r="I97" s="984" t="n"/>
      <c r="J97" s="926" t="n"/>
      <c r="K97" s="926" t="n"/>
      <c r="M97" s="891" t="n"/>
      <c r="N97" s="891" t="n"/>
      <c r="O97" s="891" t="n"/>
      <c r="P97" s="892" t="n"/>
    </row>
    <row r="98" ht="17.25" customHeight="1" s="614">
      <c r="A98" s="780" t="n"/>
      <c r="B98" s="780" t="n"/>
      <c r="C98" s="912" t="inlineStr">
        <is>
          <t>動力制御盤4</t>
        </is>
      </c>
      <c r="D98" s="639" t="n"/>
      <c r="E98" s="640" t="n"/>
      <c r="F98" s="923" t="inlineStr">
        <is>
          <t>読み</t>
        </is>
      </c>
      <c r="G98" s="927" t="n"/>
      <c r="H98" s="927" t="n"/>
      <c r="I98" s="927" t="n"/>
      <c r="J98" s="928" t="n"/>
      <c r="K98" s="928" t="n"/>
      <c r="M98" s="891" t="n"/>
      <c r="N98" s="891" t="n"/>
      <c r="O98" s="891" t="n"/>
      <c r="P98" s="892" t="n"/>
    </row>
    <row r="99" ht="17.25" customHeight="1" s="614">
      <c r="A99" s="780" t="n"/>
      <c r="B99" s="780" t="n"/>
      <c r="C99" s="835" t="inlineStr">
        <is>
          <t>（×１ｋｗｈ）</t>
        </is>
      </c>
      <c r="D99" s="653" t="n"/>
      <c r="E99" s="654" t="n"/>
      <c r="F99" s="896" t="inlineStr">
        <is>
          <t>使用量</t>
        </is>
      </c>
      <c r="G99" s="897" t="n"/>
      <c r="H99" s="897" t="n"/>
      <c r="I99" s="897" t="n"/>
      <c r="J99" s="929" t="n"/>
      <c r="K99" s="929" t="n"/>
      <c r="M99" s="891" t="n"/>
      <c r="N99" s="891" t="n"/>
      <c r="O99" s="891" t="n"/>
      <c r="P99" s="892" t="n"/>
    </row>
    <row r="100" ht="17.25" customHeight="1" s="614">
      <c r="A100" s="780" t="n"/>
      <c r="B100" s="780" t="n"/>
      <c r="C100" s="930" t="inlineStr">
        <is>
          <t>No.１　コンデンサー(電磁接触器)</t>
        </is>
      </c>
      <c r="D100" s="626" t="n"/>
      <c r="E100" s="627" t="n"/>
      <c r="F100" s="767" t="inlineStr">
        <is>
          <t>切/入</t>
        </is>
      </c>
      <c r="G100" s="874" t="n"/>
      <c r="H100" s="874" t="n"/>
      <c r="I100" s="874" t="n"/>
      <c r="J100" s="874" t="n"/>
      <c r="K100" s="874" t="n"/>
      <c r="M100" s="904" t="n"/>
      <c r="N100" s="904" t="n"/>
      <c r="O100" s="891" t="n"/>
      <c r="P100" s="892" t="n"/>
    </row>
    <row r="101" ht="17.25" customHeight="1" s="614">
      <c r="A101" s="780" t="n"/>
      <c r="B101" s="780" t="n"/>
      <c r="C101" s="930" t="inlineStr">
        <is>
          <t>No.２　コンデンサー(電磁接触器)</t>
        </is>
      </c>
      <c r="D101" s="626" t="n"/>
      <c r="E101" s="627" t="n"/>
      <c r="F101" s="767" t="inlineStr">
        <is>
          <t>切/入</t>
        </is>
      </c>
      <c r="G101" s="874" t="n"/>
      <c r="H101" s="874" t="n"/>
      <c r="I101" s="874" t="n"/>
      <c r="J101" s="874" t="n"/>
      <c r="K101" s="874" t="n"/>
      <c r="M101" s="891" t="n"/>
      <c r="N101" s="891" t="n"/>
      <c r="O101" s="891" t="n"/>
      <c r="P101" s="892" t="n"/>
    </row>
    <row r="102" ht="17.25" customHeight="1" s="614">
      <c r="A102" s="769" t="n"/>
      <c r="B102" s="769" t="n"/>
      <c r="C102" s="930" t="inlineStr">
        <is>
          <t>No.３　コンデンサー(電磁接触器)</t>
        </is>
      </c>
      <c r="D102" s="626" t="n"/>
      <c r="E102" s="627" t="n"/>
      <c r="F102" s="767" t="inlineStr">
        <is>
          <t>切/入</t>
        </is>
      </c>
      <c r="G102" s="874" t="n"/>
      <c r="H102" s="874" t="n"/>
      <c r="I102" s="874" t="n"/>
      <c r="J102" s="874" t="n"/>
      <c r="K102" s="874" t="n"/>
      <c r="M102" s="891" t="n"/>
      <c r="N102" s="891" t="n"/>
      <c r="O102" s="891" t="n"/>
      <c r="P102" s="892" t="n"/>
    </row>
    <row r="103" ht="13.5" customHeight="1" s="614">
      <c r="A103" s="931" t="inlineStr">
        <is>
          <t>備　考</t>
        </is>
      </c>
      <c r="B103" s="930" t="n"/>
      <c r="C103" s="639" t="n"/>
      <c r="D103" s="639" t="n"/>
      <c r="E103" s="639" t="n"/>
      <c r="F103" s="639" t="n"/>
      <c r="G103" s="639" t="n"/>
      <c r="H103" s="639" t="n"/>
      <c r="I103" s="639" t="n"/>
      <c r="J103" s="639" t="n"/>
      <c r="K103" s="640" t="n"/>
      <c r="M103" s="891" t="n"/>
      <c r="N103" s="891" t="n"/>
      <c r="O103" s="891" t="n"/>
      <c r="P103" s="892" t="n"/>
    </row>
    <row r="104" ht="13.5" customHeight="1" s="614">
      <c r="A104" s="780" t="n"/>
      <c r="B104" s="668" t="n"/>
      <c r="K104" s="647" t="n"/>
      <c r="M104" s="891" t="n"/>
      <c r="N104" s="891" t="n"/>
      <c r="O104" s="891" t="n"/>
      <c r="P104" s="892" t="n"/>
    </row>
    <row r="105" ht="13.5" customHeight="1" s="614">
      <c r="A105" s="769" t="n"/>
      <c r="B105" s="657" t="n"/>
      <c r="C105" s="653" t="n"/>
      <c r="D105" s="653" t="n"/>
      <c r="E105" s="653" t="n"/>
      <c r="F105" s="653" t="n"/>
      <c r="G105" s="653" t="n"/>
      <c r="H105" s="653" t="n"/>
      <c r="I105" s="653" t="n"/>
      <c r="J105" s="653" t="n"/>
      <c r="K105" s="654" t="n"/>
      <c r="M105" s="891" t="n"/>
      <c r="N105" s="891" t="n"/>
      <c r="O105" s="891" t="n"/>
      <c r="P105" s="892" t="n"/>
    </row>
    <row r="106" ht="21" customHeight="1" s="614">
      <c r="A106" s="764" t="inlineStr">
        <is>
          <t xml:space="preserve">　電気設備日常点検（２/２）</t>
        </is>
      </c>
      <c r="M106" s="891" t="n"/>
      <c r="N106" s="891" t="n"/>
      <c r="O106" s="891" t="n"/>
      <c r="P106" s="892" t="n"/>
    </row>
    <row r="107" ht="16.5" customHeight="1" s="614">
      <c r="A107" s="932" t="n"/>
      <c r="B107" s="767" t="inlineStr">
        <is>
          <t>機器名</t>
        </is>
      </c>
      <c r="C107" s="640" t="n"/>
      <c r="D107" s="767" t="inlineStr">
        <is>
          <t>点　　検　　者　　氏　　名</t>
        </is>
      </c>
      <c r="E107" s="626" t="n"/>
      <c r="F107" s="627" t="n"/>
      <c r="G107" s="874" t="n"/>
      <c r="H107" s="874" t="n"/>
      <c r="I107" s="767" t="n"/>
      <c r="J107" s="767" t="n"/>
      <c r="K107" s="767" t="n"/>
      <c r="M107" s="891" t="n"/>
      <c r="N107" s="891" t="n"/>
      <c r="O107" s="891" t="n"/>
      <c r="P107" s="892" t="n"/>
    </row>
    <row r="108" ht="16.5" customHeight="1" s="614">
      <c r="A108" s="769" t="n"/>
      <c r="B108" s="657" t="n"/>
      <c r="C108" s="654" t="n"/>
      <c r="D108" s="767" t="inlineStr">
        <is>
          <t>点　　　検　　　内　　　容</t>
        </is>
      </c>
      <c r="E108" s="626" t="n"/>
      <c r="F108" s="627" t="n"/>
      <c r="G108" s="875" t="n"/>
      <c r="H108" s="875" t="n"/>
      <c r="I108" s="771" t="n"/>
      <c r="J108" s="771" t="n"/>
      <c r="K108" s="771" t="n"/>
      <c r="M108" s="891" t="n"/>
      <c r="N108" s="891" t="n"/>
      <c r="O108" s="891" t="n"/>
      <c r="P108" s="892" t="n"/>
    </row>
    <row r="109" ht="15.75" customHeight="1" s="614">
      <c r="A109" s="893" t="inlineStr">
        <is>
          <t>計　　　　　装　　　　　設　　　　　備</t>
        </is>
      </c>
      <c r="B109" s="878" t="inlineStr">
        <is>
          <t>ポンプ井
水位計</t>
        </is>
      </c>
      <c r="C109" s="640" t="n"/>
      <c r="D109" s="933" t="inlineStr">
        <is>
          <t>外観の確認</t>
        </is>
      </c>
      <c r="E109" s="706" t="n"/>
      <c r="G109" s="895" t="n"/>
      <c r="H109" s="895" t="n"/>
      <c r="I109" s="895" t="n"/>
      <c r="J109" s="804" t="n"/>
      <c r="K109" s="804" t="n"/>
      <c r="M109" s="891" t="n"/>
      <c r="N109" s="891" t="n"/>
      <c r="O109" s="891" t="n"/>
      <c r="P109" s="892" t="n"/>
    </row>
    <row r="110" ht="15.75" customHeight="1" s="614">
      <c r="A110" s="780" t="n"/>
      <c r="B110" s="668" t="n"/>
      <c r="C110" s="647" t="n"/>
      <c r="D110" s="934" t="inlineStr">
        <is>
          <t>指示状況の確認</t>
        </is>
      </c>
      <c r="E110" s="672" t="n"/>
      <c r="F110" s="935" t="n"/>
      <c r="G110" s="985" t="n"/>
      <c r="H110" s="985" t="n"/>
      <c r="I110" s="985" t="n"/>
      <c r="J110" s="936" t="n"/>
      <c r="K110" s="936" t="n"/>
      <c r="M110" s="891" t="n"/>
      <c r="N110" s="891" t="n"/>
      <c r="O110" s="891" t="n"/>
      <c r="P110" s="892" t="n"/>
    </row>
    <row r="111" ht="15.75" customHeight="1" s="614">
      <c r="A111" s="780" t="n"/>
      <c r="B111" s="657" t="n"/>
      <c r="C111" s="654" t="n"/>
      <c r="D111" s="937" t="inlineStr">
        <is>
          <t>計器読み</t>
        </is>
      </c>
      <c r="E111" s="938" t="n"/>
      <c r="F111" s="939" t="inlineStr">
        <is>
          <t>ｍ</t>
        </is>
      </c>
      <c r="G111" s="986" t="n"/>
      <c r="H111" s="986" t="n"/>
      <c r="I111" s="986" t="n"/>
      <c r="J111" s="940" t="n"/>
      <c r="K111" s="940" t="n"/>
      <c r="M111" s="891" t="n"/>
      <c r="N111" s="891" t="n"/>
      <c r="O111" s="891" t="n"/>
      <c r="P111" s="892" t="n"/>
    </row>
    <row r="112" ht="15.75" customHeight="1" s="614">
      <c r="A112" s="780" t="n"/>
      <c r="B112" s="941" t="inlineStr">
        <is>
          <t>Nｏ．１オキシデーションディッチＤＯ計</t>
        </is>
      </c>
      <c r="C112" s="640" t="n"/>
      <c r="D112" s="942" t="inlineStr">
        <is>
          <t>外観の確認</t>
        </is>
      </c>
      <c r="E112" s="688" t="n"/>
      <c r="F112" s="943" t="n"/>
      <c r="G112" s="895" t="n"/>
      <c r="H112" s="895" t="n"/>
      <c r="I112" s="895" t="n"/>
      <c r="J112" s="804" t="n"/>
      <c r="K112" s="804" t="n"/>
      <c r="M112" s="891" t="n"/>
      <c r="N112" s="891" t="n"/>
      <c r="O112" s="891" t="n"/>
      <c r="P112" s="892" t="n"/>
    </row>
    <row r="113" ht="15.75" customHeight="1" s="614">
      <c r="A113" s="780" t="n"/>
      <c r="B113" s="668" t="n"/>
      <c r="C113" s="647" t="n"/>
      <c r="D113" s="944" t="inlineStr">
        <is>
          <t>指示状況の確認</t>
        </is>
      </c>
      <c r="E113" s="945" t="n"/>
      <c r="F113" s="946" t="n"/>
      <c r="G113" s="985" t="n"/>
      <c r="H113" s="985" t="n"/>
      <c r="I113" s="985" t="n"/>
      <c r="J113" s="936" t="n"/>
      <c r="K113" s="936" t="n"/>
      <c r="M113" s="891" t="n"/>
      <c r="N113" s="891" t="n"/>
      <c r="O113" s="891" t="n"/>
      <c r="P113" s="892" t="n"/>
    </row>
    <row r="114" ht="15.75" customHeight="1" s="614">
      <c r="A114" s="780" t="n"/>
      <c r="B114" s="657" t="n"/>
      <c r="C114" s="654" t="n"/>
      <c r="D114" s="947" t="inlineStr">
        <is>
          <t>ＤＯ値</t>
        </is>
      </c>
      <c r="E114" s="692" t="n"/>
      <c r="F114" s="948" t="inlineStr">
        <is>
          <t>㎎/ℓ</t>
        </is>
      </c>
      <c r="G114" s="987" t="n"/>
      <c r="H114" s="987" t="n"/>
      <c r="I114" s="987" t="n"/>
      <c r="J114" s="949" t="n"/>
      <c r="K114" s="949" t="n"/>
      <c r="M114" s="891" t="n"/>
      <c r="N114" s="891" t="n"/>
      <c r="O114" s="891" t="n"/>
      <c r="P114" s="892" t="n"/>
    </row>
    <row r="115" ht="15.75" customHeight="1" s="614">
      <c r="A115" s="780" t="n"/>
      <c r="B115" s="772" t="inlineStr">
        <is>
          <t>返送汚泥流量計</t>
        </is>
      </c>
      <c r="C115" s="640" t="n"/>
      <c r="D115" s="942" t="inlineStr">
        <is>
          <t>外観の確認</t>
        </is>
      </c>
      <c r="E115" s="688" t="n"/>
      <c r="F115" s="950" t="n"/>
      <c r="G115" s="895" t="n"/>
      <c r="H115" s="895" t="n"/>
      <c r="I115" s="895" t="n"/>
      <c r="J115" s="804" t="n"/>
      <c r="K115" s="804" t="n"/>
      <c r="M115" s="891" t="n"/>
      <c r="N115" s="891" t="n"/>
      <c r="O115" s="891" t="n"/>
      <c r="P115" s="892" t="n"/>
    </row>
    <row r="116" ht="15.75" customHeight="1" s="614">
      <c r="A116" s="780" t="n"/>
      <c r="B116" s="668" t="n"/>
      <c r="C116" s="647" t="n"/>
      <c r="D116" s="944" t="inlineStr">
        <is>
          <t>指示状況の確認</t>
        </is>
      </c>
      <c r="E116" s="945" t="n"/>
      <c r="F116" s="952" t="n"/>
      <c r="G116" s="985" t="n"/>
      <c r="H116" s="985" t="n"/>
      <c r="I116" s="985" t="n"/>
      <c r="J116" s="936" t="n"/>
      <c r="K116" s="936" t="n"/>
      <c r="M116" s="891" t="n"/>
      <c r="N116" s="891" t="n"/>
      <c r="O116" s="891" t="n"/>
      <c r="P116" s="892" t="n"/>
    </row>
    <row r="117" ht="15.75" customHeight="1" s="614">
      <c r="A117" s="780" t="n"/>
      <c r="B117" s="668" t="n"/>
      <c r="C117" s="647" t="n"/>
      <c r="D117" s="944" t="inlineStr">
        <is>
          <t>流量計の読み</t>
        </is>
      </c>
      <c r="E117" s="945" t="n"/>
      <c r="F117" s="952" t="inlineStr">
        <is>
          <t>㎥/ｈ</t>
        </is>
      </c>
      <c r="G117" s="953" t="n"/>
      <c r="H117" s="953" t="n"/>
      <c r="I117" s="953" t="n"/>
      <c r="J117" s="988" t="n"/>
      <c r="K117" s="988" t="n"/>
      <c r="M117" s="891" t="n"/>
      <c r="N117" s="891" t="n"/>
      <c r="O117" s="891" t="n"/>
      <c r="P117" s="892" t="n"/>
    </row>
    <row r="118" ht="15.75" customHeight="1" s="614">
      <c r="A118" s="780" t="n"/>
      <c r="B118" s="657" t="n"/>
      <c r="C118" s="654" t="n"/>
      <c r="D118" s="947" t="inlineStr">
        <is>
          <t>流量計積算計読み</t>
        </is>
      </c>
      <c r="E118" s="692" t="n"/>
      <c r="F118" s="954" t="inlineStr">
        <is>
          <t>㎥</t>
        </is>
      </c>
      <c r="G118" s="966" t="n"/>
      <c r="H118" s="966" t="n"/>
      <c r="I118" s="966" t="n"/>
      <c r="J118" s="966" t="n"/>
      <c r="K118" s="966" t="n"/>
      <c r="M118" s="891" t="n"/>
      <c r="N118" s="891" t="n"/>
      <c r="O118" s="891" t="n"/>
      <c r="P118" s="892" t="n"/>
    </row>
    <row r="119" ht="15.75" customHeight="1" s="614">
      <c r="A119" s="780" t="n"/>
      <c r="B119" s="772" t="inlineStr">
        <is>
          <t>余剰汚泥流量計</t>
        </is>
      </c>
      <c r="C119" s="640" t="n"/>
      <c r="D119" s="942" t="inlineStr">
        <is>
          <t>外観の確認</t>
        </is>
      </c>
      <c r="E119" s="688" t="n"/>
      <c r="F119" s="956" t="n"/>
      <c r="G119" s="927" t="n"/>
      <c r="H119" s="927" t="n"/>
      <c r="I119" s="927" t="n"/>
      <c r="J119" s="928" t="n"/>
      <c r="K119" s="928" t="n"/>
      <c r="M119" s="891" t="n"/>
      <c r="N119" s="891" t="n"/>
      <c r="O119" s="891" t="n"/>
      <c r="P119" s="892" t="n"/>
    </row>
    <row r="120" ht="15.75" customHeight="1" s="614">
      <c r="A120" s="780" t="n"/>
      <c r="B120" s="668" t="n"/>
      <c r="C120" s="647" t="n"/>
      <c r="D120" s="944" t="inlineStr">
        <is>
          <t>指示状況の確認</t>
        </is>
      </c>
      <c r="E120" s="945" t="n"/>
      <c r="F120" s="957" t="n"/>
      <c r="G120" s="989" t="n"/>
      <c r="H120" s="989" t="n"/>
      <c r="I120" s="989" t="n"/>
      <c r="J120" s="958" t="n"/>
      <c r="K120" s="958" t="n"/>
      <c r="M120" s="891" t="n"/>
      <c r="N120" s="891" t="n"/>
      <c r="O120" s="891" t="n"/>
      <c r="P120" s="892" t="n"/>
    </row>
    <row r="121" ht="15.75" customHeight="1" s="614">
      <c r="A121" s="780" t="n"/>
      <c r="B121" s="668" t="n"/>
      <c r="C121" s="647" t="n"/>
      <c r="D121" s="959" t="inlineStr">
        <is>
          <t>No.１余剰汚泥ポンプ流量計読み</t>
        </is>
      </c>
      <c r="E121" s="945" t="n"/>
      <c r="F121" s="960" t="inlineStr">
        <is>
          <t>㎥/ｈ</t>
        </is>
      </c>
      <c r="G121" s="990" t="n"/>
      <c r="H121" s="990" t="n"/>
      <c r="I121" s="990" t="n"/>
      <c r="J121" s="961" t="n"/>
      <c r="K121" s="961" t="n"/>
      <c r="M121" s="891" t="n"/>
      <c r="N121" s="891" t="n"/>
      <c r="O121" s="891" t="n"/>
      <c r="P121" s="892" t="n"/>
    </row>
    <row r="122" ht="15.75" customHeight="1" s="614">
      <c r="A122" s="780" t="n"/>
      <c r="B122" s="657" t="n"/>
      <c r="C122" s="654" t="n"/>
      <c r="D122" s="947" t="inlineStr">
        <is>
          <t>流量計積算読み</t>
        </is>
      </c>
      <c r="E122" s="692" t="n"/>
      <c r="F122" s="962" t="inlineStr">
        <is>
          <t>㎥</t>
        </is>
      </c>
      <c r="G122" s="963" t="n"/>
      <c r="H122" s="963" t="n"/>
      <c r="I122" s="963" t="n"/>
      <c r="J122" s="963" t="n"/>
      <c r="K122" s="963" t="n"/>
      <c r="M122" s="891" t="n"/>
      <c r="N122" s="891" t="n"/>
      <c r="O122" s="891" t="n"/>
      <c r="P122" s="892" t="n"/>
    </row>
    <row r="123" ht="15.75" customHeight="1" s="614">
      <c r="A123" s="780" t="n"/>
      <c r="B123" s="772" t="inlineStr">
        <is>
          <t>放流流量計</t>
        </is>
      </c>
      <c r="C123" s="640" t="n"/>
      <c r="D123" s="942" t="inlineStr">
        <is>
          <t>外観の確認</t>
        </is>
      </c>
      <c r="E123" s="688" t="n"/>
      <c r="F123" s="943" t="n"/>
      <c r="G123" s="991" t="n"/>
      <c r="H123" s="991" t="n"/>
      <c r="I123" s="991" t="n"/>
      <c r="J123" s="964" t="n"/>
      <c r="K123" s="964" t="n"/>
      <c r="M123" s="891" t="n"/>
      <c r="N123" s="891" t="n"/>
      <c r="O123" s="891" t="n"/>
      <c r="P123" s="892" t="n"/>
    </row>
    <row r="124" ht="15.75" customHeight="1" s="614">
      <c r="A124" s="780" t="n"/>
      <c r="B124" s="668" t="n"/>
      <c r="C124" s="647" t="n"/>
      <c r="D124" s="944" t="inlineStr">
        <is>
          <t>指示状況の確認</t>
        </is>
      </c>
      <c r="E124" s="945" t="n"/>
      <c r="F124" s="960" t="n"/>
      <c r="G124" s="992" t="n"/>
      <c r="H124" s="992" t="n"/>
      <c r="I124" s="992" t="n"/>
      <c r="J124" s="965" t="n"/>
      <c r="K124" s="965" t="n"/>
      <c r="M124" s="891" t="n"/>
      <c r="N124" s="891" t="n"/>
      <c r="O124" s="891" t="n"/>
      <c r="P124" s="892" t="n"/>
    </row>
    <row r="125" ht="15.75" customHeight="1" s="614">
      <c r="A125" s="780" t="n"/>
      <c r="B125" s="668" t="n"/>
      <c r="C125" s="647" t="n"/>
      <c r="D125" s="944" t="inlineStr">
        <is>
          <t>流量計の読み</t>
        </is>
      </c>
      <c r="E125" s="945" t="n"/>
      <c r="F125" s="960" t="inlineStr">
        <is>
          <t>㎥/ｈ</t>
        </is>
      </c>
      <c r="G125" s="953" t="n"/>
      <c r="H125" s="953" t="n"/>
      <c r="I125" s="953" t="n"/>
      <c r="J125" s="988" t="n"/>
      <c r="K125" s="988" t="n"/>
      <c r="M125" s="891" t="n"/>
      <c r="N125" s="891" t="n"/>
      <c r="O125" s="891" t="n"/>
      <c r="P125" s="892" t="n"/>
    </row>
    <row r="126" ht="15.75" customHeight="1" s="614">
      <c r="A126" s="780" t="n"/>
      <c r="B126" s="657" t="n"/>
      <c r="C126" s="654" t="n"/>
      <c r="D126" s="947" t="inlineStr">
        <is>
          <t>流量計積算の読み</t>
        </is>
      </c>
      <c r="E126" s="692" t="n"/>
      <c r="F126" s="962" t="inlineStr">
        <is>
          <t>㎥</t>
        </is>
      </c>
      <c r="G126" s="966" t="n"/>
      <c r="H126" s="966" t="n"/>
      <c r="I126" s="966" t="n"/>
      <c r="J126" s="966" t="n"/>
      <c r="K126" s="966" t="n"/>
      <c r="M126" s="891" t="n"/>
      <c r="N126" s="891" t="n"/>
      <c r="O126" s="891" t="n"/>
      <c r="P126" s="892" t="n"/>
    </row>
    <row r="127" ht="15.75" customHeight="1" s="614">
      <c r="A127" s="780" t="n"/>
      <c r="B127" s="967" t="inlineStr">
        <is>
          <t>汚濁負荷量計</t>
        </is>
      </c>
      <c r="C127" s="640" t="n"/>
      <c r="D127" s="942" t="inlineStr">
        <is>
          <t>外観の確認</t>
        </is>
      </c>
      <c r="E127" s="688" t="n"/>
      <c r="F127" s="943" t="n"/>
      <c r="G127" s="991" t="n"/>
      <c r="H127" s="991" t="n"/>
      <c r="I127" s="991" t="n"/>
      <c r="J127" s="964" t="n"/>
      <c r="K127" s="964" t="n"/>
      <c r="M127" s="891" t="n"/>
      <c r="N127" s="891" t="n"/>
      <c r="O127" s="891" t="n"/>
      <c r="P127" s="892" t="n"/>
    </row>
    <row r="128" ht="15.75" customHeight="1" s="614">
      <c r="A128" s="780" t="n"/>
      <c r="B128" s="668" t="n"/>
      <c r="C128" s="647" t="n"/>
      <c r="D128" s="944" t="inlineStr">
        <is>
          <t>指示状況の確認</t>
        </is>
      </c>
      <c r="E128" s="945" t="n"/>
      <c r="F128" s="960" t="n"/>
      <c r="G128" s="920" t="n"/>
      <c r="H128" s="920" t="n"/>
      <c r="I128" s="920" t="n"/>
      <c r="J128" s="968" t="n"/>
      <c r="K128" s="968" t="n"/>
      <c r="M128" s="891" t="n"/>
      <c r="N128" s="891" t="n"/>
      <c r="O128" s="891" t="n"/>
      <c r="P128" s="892" t="n"/>
    </row>
    <row r="129" ht="15.75" customHeight="1" s="614">
      <c r="A129" s="780" t="n"/>
      <c r="B129" s="969" t="inlineStr">
        <is>
          <t>（放流水ＵＶ）</t>
        </is>
      </c>
      <c r="C129" s="647" t="n"/>
      <c r="D129" s="944" t="inlineStr">
        <is>
          <t>ＵＶ値</t>
        </is>
      </c>
      <c r="E129" s="945" t="n"/>
      <c r="F129" s="970" t="inlineStr">
        <is>
          <t>Abs</t>
        </is>
      </c>
      <c r="G129" s="971" t="n"/>
      <c r="H129" s="971" t="n"/>
      <c r="I129" s="993" t="n"/>
      <c r="J129" s="971" t="n"/>
      <c r="K129" s="971" t="n"/>
      <c r="M129" s="891" t="n"/>
      <c r="N129" s="891" t="n"/>
      <c r="O129" s="891" t="n"/>
      <c r="P129" s="892" t="n"/>
    </row>
    <row r="130" ht="15.75" customHeight="1" s="614">
      <c r="A130" s="780" t="n"/>
      <c r="B130" s="657" t="n"/>
      <c r="C130" s="654" t="n"/>
      <c r="D130" s="947" t="inlineStr">
        <is>
          <t>ＣＯＤ値</t>
        </is>
      </c>
      <c r="E130" s="692" t="n"/>
      <c r="F130" s="962" t="inlineStr">
        <is>
          <t>㎎/ℓ</t>
        </is>
      </c>
      <c r="G130" s="994" t="n"/>
      <c r="H130" s="994" t="n"/>
      <c r="I130" s="994" t="n"/>
      <c r="J130" s="972" t="n"/>
      <c r="K130" s="972" t="n"/>
      <c r="M130" s="891" t="n"/>
      <c r="N130" s="891" t="n"/>
      <c r="O130" s="891" t="n"/>
      <c r="P130" s="892" t="n"/>
    </row>
    <row r="131" ht="15.75" customHeight="1" s="614">
      <c r="A131" s="780" t="n"/>
      <c r="B131" s="772" t="inlineStr">
        <is>
          <t>全窒素・全燐計</t>
        </is>
      </c>
      <c r="C131" s="640" t="n"/>
      <c r="D131" s="942" t="inlineStr">
        <is>
          <t>外観の確認</t>
        </is>
      </c>
      <c r="E131" s="688" t="n"/>
      <c r="F131" s="943" t="n"/>
      <c r="G131" s="895" t="n"/>
      <c r="H131" s="895" t="n"/>
      <c r="I131" s="895" t="n"/>
      <c r="J131" s="804" t="n"/>
      <c r="K131" s="804" t="n"/>
      <c r="M131" s="891" t="n"/>
      <c r="N131" s="891" t="n"/>
      <c r="O131" s="891" t="n"/>
      <c r="P131" s="892" t="n"/>
    </row>
    <row r="132" ht="15.75" customHeight="1" s="614">
      <c r="A132" s="780" t="n"/>
      <c r="B132" s="668" t="n"/>
      <c r="C132" s="647" t="n"/>
      <c r="D132" s="944" t="inlineStr">
        <is>
          <t>指示状況の確認</t>
        </is>
      </c>
      <c r="E132" s="945" t="n"/>
      <c r="F132" s="960" t="n"/>
      <c r="G132" s="985" t="n"/>
      <c r="H132" s="985" t="n"/>
      <c r="I132" s="985" t="n"/>
      <c r="J132" s="936" t="n"/>
      <c r="K132" s="936" t="n"/>
      <c r="M132" s="891" t="n"/>
      <c r="N132" s="891" t="n"/>
      <c r="O132" s="891" t="n"/>
      <c r="P132" s="892" t="n"/>
    </row>
    <row r="133" ht="15.75" customHeight="1" s="614">
      <c r="A133" s="780" t="n"/>
      <c r="B133" s="668" t="n"/>
      <c r="C133" s="647" t="n"/>
      <c r="D133" s="944" t="inlineStr">
        <is>
          <t>計器読み（全窒素）</t>
        </is>
      </c>
      <c r="E133" s="945" t="n"/>
      <c r="F133" s="960" t="inlineStr">
        <is>
          <t>㎎/ℓ</t>
        </is>
      </c>
      <c r="G133" s="995" t="n"/>
      <c r="H133" s="995" t="n"/>
      <c r="I133" s="995" t="n"/>
      <c r="J133" s="973" t="n"/>
      <c r="K133" s="973" t="n"/>
      <c r="M133" s="891" t="n"/>
      <c r="N133" s="891" t="n"/>
      <c r="O133" s="891" t="n"/>
      <c r="P133" s="892" t="n"/>
    </row>
    <row r="134" ht="15.75" customHeight="1" s="614">
      <c r="A134" s="780" t="n"/>
      <c r="B134" s="657" t="n"/>
      <c r="C134" s="654" t="n"/>
      <c r="D134" s="947" t="inlineStr">
        <is>
          <t>計器読み（全りん）</t>
        </is>
      </c>
      <c r="E134" s="692" t="n"/>
      <c r="F134" s="948" t="inlineStr">
        <is>
          <t>㎎/ℓ</t>
        </is>
      </c>
      <c r="G134" s="994" t="n"/>
      <c r="H134" s="994" t="n"/>
      <c r="I134" s="994" t="n"/>
      <c r="J134" s="972" t="n"/>
      <c r="K134" s="972" t="n"/>
      <c r="M134" s="891" t="n"/>
      <c r="N134" s="891" t="n"/>
      <c r="O134" s="891" t="n"/>
      <c r="P134" s="892" t="n"/>
    </row>
    <row r="135" ht="15.75" customHeight="1" s="614">
      <c r="A135" s="780" t="n"/>
      <c r="B135" s="878" t="inlineStr">
        <is>
          <t>圧力式液位計</t>
        </is>
      </c>
      <c r="C135" s="640" t="n"/>
      <c r="D135" s="942" t="inlineStr">
        <is>
          <t>外観の確認</t>
        </is>
      </c>
      <c r="E135" s="974" t="n"/>
      <c r="F135" s="943" t="n"/>
      <c r="G135" s="895" t="n"/>
      <c r="H135" s="895" t="n"/>
      <c r="I135" s="895" t="n"/>
      <c r="J135" s="804" t="n"/>
      <c r="K135" s="804" t="n"/>
      <c r="M135" s="891" t="n"/>
      <c r="N135" s="891" t="n"/>
      <c r="O135" s="891" t="n"/>
      <c r="P135" s="892" t="n"/>
    </row>
    <row r="136" ht="15.75" customHeight="1" s="614">
      <c r="A136" s="780" t="n"/>
      <c r="B136" s="668" t="n"/>
      <c r="C136" s="647" t="n"/>
      <c r="D136" s="944" t="inlineStr">
        <is>
          <t>指示状況の確認</t>
        </is>
      </c>
      <c r="E136" s="975" t="n"/>
      <c r="F136" s="960" t="n"/>
      <c r="G136" s="985" t="n"/>
      <c r="H136" s="985" t="n"/>
      <c r="I136" s="985" t="n"/>
      <c r="J136" s="936" t="n"/>
      <c r="K136" s="936" t="n"/>
      <c r="M136" s="891" t="n"/>
      <c r="N136" s="891" t="n"/>
      <c r="O136" s="891" t="n"/>
      <c r="P136" s="892" t="n"/>
    </row>
    <row r="137" ht="15.75" customHeight="1" s="614">
      <c r="A137" s="769" t="n"/>
      <c r="B137" s="657" t="n"/>
      <c r="C137" s="654" t="n"/>
      <c r="D137" s="947" t="inlineStr">
        <is>
          <t>機器指示地の記録</t>
        </is>
      </c>
      <c r="E137" s="976" t="n"/>
      <c r="F137" s="948" t="inlineStr">
        <is>
          <t>ｍ</t>
        </is>
      </c>
      <c r="G137" s="986" t="n"/>
      <c r="H137" s="986" t="n"/>
      <c r="I137" s="986" t="n"/>
      <c r="J137" s="940" t="n"/>
      <c r="K137" s="940" t="n"/>
      <c r="M137" s="891" t="n"/>
      <c r="N137" s="891" t="n"/>
      <c r="O137" s="891" t="n"/>
      <c r="P137" s="892" t="n"/>
    </row>
    <row r="138" ht="15.75" customHeight="1" s="614">
      <c r="A138" s="977" t="inlineStr">
        <is>
          <t>発電機設備</t>
        </is>
      </c>
      <c r="B138" s="832" t="inlineStr">
        <is>
          <t>発電機盤</t>
        </is>
      </c>
      <c r="C138" s="627" t="n"/>
      <c r="D138" s="773" t="inlineStr">
        <is>
          <t>外観の確認</t>
        </is>
      </c>
      <c r="E138" s="626" t="n"/>
      <c r="F138" s="805" t="n"/>
      <c r="G138" s="921" t="n"/>
      <c r="H138" s="921" t="n"/>
      <c r="I138" s="921" t="n"/>
      <c r="J138" s="768" t="n"/>
      <c r="K138" s="768" t="n"/>
      <c r="M138" s="891" t="n"/>
      <c r="N138" s="891" t="n"/>
      <c r="O138" s="891" t="n"/>
      <c r="P138" s="892" t="n"/>
    </row>
    <row r="139" ht="15.75" customHeight="1" s="614">
      <c r="A139" s="780" t="n"/>
      <c r="B139" s="832" t="inlineStr">
        <is>
          <t>燃料タンク</t>
        </is>
      </c>
      <c r="C139" s="640" t="n"/>
      <c r="D139" s="942" t="inlineStr">
        <is>
          <t>外観の確認</t>
        </is>
      </c>
      <c r="E139" s="688" t="n"/>
      <c r="F139" s="943" t="n"/>
      <c r="G139" s="895" t="n"/>
      <c r="H139" s="895" t="n"/>
      <c r="I139" s="895" t="n"/>
      <c r="J139" s="804" t="n"/>
      <c r="K139" s="804" t="n"/>
      <c r="M139" s="891" t="n"/>
      <c r="N139" s="891" t="n"/>
      <c r="O139" s="891" t="n"/>
      <c r="P139" s="892" t="n"/>
    </row>
    <row r="140" ht="15.75" customHeight="1" s="614">
      <c r="A140" s="769" t="n"/>
      <c r="B140" s="657" t="n"/>
      <c r="C140" s="654" t="n"/>
      <c r="D140" s="947" t="inlineStr">
        <is>
          <t>残量の値</t>
        </is>
      </c>
      <c r="E140" s="692" t="n"/>
      <c r="F140" s="978" t="inlineStr">
        <is>
          <t>ℓ</t>
        </is>
      </c>
      <c r="G140" s="996" t="n"/>
      <c r="H140" s="996" t="n"/>
      <c r="I140" s="996" t="n"/>
      <c r="J140" s="979" t="n"/>
      <c r="K140" s="979" t="n"/>
      <c r="M140" s="891" t="n"/>
      <c r="N140" s="891" t="n"/>
      <c r="O140" s="891" t="n"/>
      <c r="P140" s="892" t="n"/>
    </row>
    <row r="141" ht="15.75" customHeight="1" s="614">
      <c r="A141" s="931" t="inlineStr">
        <is>
          <t>他</t>
        </is>
      </c>
      <c r="B141" s="832" t="inlineStr">
        <is>
          <t>通報装置</t>
        </is>
      </c>
      <c r="C141" s="627" t="n"/>
      <c r="D141" s="773" t="inlineStr">
        <is>
          <t>通報状態の確認</t>
        </is>
      </c>
      <c r="E141" s="626" t="n"/>
      <c r="F141" s="805" t="n"/>
      <c r="G141" s="895" t="n"/>
      <c r="H141" s="895" t="n"/>
      <c r="I141" s="895" t="n"/>
      <c r="J141" s="804" t="n"/>
      <c r="K141" s="804" t="n"/>
      <c r="M141" s="891" t="n"/>
      <c r="N141" s="891" t="n"/>
      <c r="O141" s="891" t="n"/>
      <c r="P141" s="892" t="n"/>
    </row>
    <row r="142" ht="16.5" customHeight="1" s="614">
      <c r="A142" s="980" t="n"/>
      <c r="B142" s="849" t="inlineStr">
        <is>
          <t>○：良　　△：要注意　　×要修理</t>
        </is>
      </c>
      <c r="C142" s="849" t="n"/>
      <c r="D142" s="849" t="n"/>
      <c r="E142" s="849" t="n"/>
      <c r="F142" s="981" t="n"/>
      <c r="G142" s="981" t="n"/>
      <c r="H142" s="981" t="n"/>
      <c r="I142" s="981" t="n"/>
      <c r="J142" s="981" t="n"/>
      <c r="K142" s="981" t="n"/>
      <c r="M142" s="891" t="n"/>
      <c r="N142" s="891" t="n"/>
      <c r="O142" s="891" t="n"/>
      <c r="P142" s="892" t="n"/>
    </row>
    <row r="143" ht="21" customHeight="1" s="614">
      <c r="A143" s="764" t="inlineStr">
        <is>
          <t xml:space="preserve">　電気設備日常点検（１/２）</t>
        </is>
      </c>
      <c r="K143" s="839">
        <f>K72</f>
        <v/>
      </c>
      <c r="M143" s="891" t="n"/>
      <c r="N143" s="891" t="n"/>
      <c r="O143" s="891" t="n"/>
      <c r="P143" s="892" t="n"/>
    </row>
    <row r="144" ht="13.5" customHeight="1" s="614">
      <c r="G144" s="771" t="n"/>
      <c r="H144" s="771" t="n"/>
      <c r="I144" s="771" t="n"/>
      <c r="J144" s="771" t="n"/>
      <c r="K144" s="771" t="n"/>
      <c r="M144" s="891" t="n"/>
      <c r="N144" s="891" t="n"/>
      <c r="O144" s="891" t="n"/>
      <c r="P144" s="892" t="n"/>
    </row>
    <row r="145" ht="17.25" customHeight="1" s="614">
      <c r="A145" s="893" t="inlineStr">
        <is>
          <t>電　　　　　気　　　　　室</t>
        </is>
      </c>
      <c r="B145" s="893" t="inlineStr">
        <is>
          <t>引込・受電</t>
        </is>
      </c>
      <c r="C145" s="832" t="inlineStr">
        <is>
          <t>電圧</t>
        </is>
      </c>
      <c r="D145" s="639" t="n"/>
      <c r="E145" s="640" t="n"/>
      <c r="F145" s="894" t="inlineStr">
        <is>
          <t>KV</t>
        </is>
      </c>
      <c r="G145" s="804" t="n"/>
      <c r="H145" s="804" t="n"/>
      <c r="I145" s="804" t="n"/>
      <c r="J145" s="804" t="n"/>
      <c r="K145" s="997" t="n"/>
      <c r="M145" s="891" t="n"/>
      <c r="N145" s="891" t="n"/>
      <c r="O145" s="891" t="n"/>
      <c r="P145" s="892" t="n"/>
    </row>
    <row r="146" ht="17.25" customHeight="1" s="614">
      <c r="A146" s="780" t="n"/>
      <c r="B146" s="780" t="n"/>
      <c r="C146" s="657" t="n"/>
      <c r="D146" s="653" t="n"/>
      <c r="E146" s="654" t="n"/>
      <c r="F146" s="896" t="inlineStr">
        <is>
          <t>モード</t>
        </is>
      </c>
      <c r="G146" s="929" t="n"/>
      <c r="H146" s="929" t="n"/>
      <c r="I146" s="929" t="n"/>
      <c r="J146" s="929" t="n"/>
      <c r="K146" s="998" t="n"/>
      <c r="M146" s="891" t="n"/>
      <c r="N146" s="891" t="n"/>
      <c r="O146" s="891" t="n"/>
      <c r="P146" s="892" t="n"/>
    </row>
    <row r="147" ht="17.25" customHeight="1" s="614">
      <c r="A147" s="780" t="n"/>
      <c r="B147" s="780" t="n"/>
      <c r="C147" s="832" t="inlineStr">
        <is>
          <t>力率</t>
        </is>
      </c>
      <c r="D147" s="626" t="n"/>
      <c r="E147" s="627" t="n"/>
      <c r="F147" s="898" t="inlineStr">
        <is>
          <t>ψ</t>
        </is>
      </c>
      <c r="G147" s="900" t="n"/>
      <c r="H147" s="900" t="n"/>
      <c r="I147" s="900" t="n"/>
      <c r="J147" s="900" t="n"/>
      <c r="K147" s="999" t="n"/>
      <c r="M147" s="891" t="n"/>
      <c r="N147" s="891" t="n"/>
      <c r="O147" s="891" t="n"/>
      <c r="P147" s="892" t="n"/>
    </row>
    <row r="148" ht="17.25" customHeight="1" s="614">
      <c r="A148" s="780" t="n"/>
      <c r="B148" s="780" t="n"/>
      <c r="C148" s="832" t="inlineStr">
        <is>
          <t>電流</t>
        </is>
      </c>
      <c r="D148" s="639" t="n"/>
      <c r="E148" s="640" t="n"/>
      <c r="F148" s="894" t="inlineStr">
        <is>
          <t>A</t>
        </is>
      </c>
      <c r="G148" s="902" t="n"/>
      <c r="H148" s="902" t="n"/>
      <c r="I148" s="902" t="n"/>
      <c r="J148" s="902" t="n"/>
      <c r="K148" s="1000" t="n"/>
      <c r="M148" s="891" t="n"/>
      <c r="N148" s="891" t="n"/>
      <c r="O148" s="891" t="n"/>
      <c r="P148" s="892" t="n"/>
    </row>
    <row r="149" ht="17.25" customHeight="1" s="614">
      <c r="A149" s="780" t="n"/>
      <c r="B149" s="780" t="n"/>
      <c r="C149" s="657" t="n"/>
      <c r="D149" s="653" t="n"/>
      <c r="E149" s="654" t="n"/>
      <c r="F149" s="896" t="inlineStr">
        <is>
          <t>モード</t>
        </is>
      </c>
      <c r="G149" s="897" t="n"/>
      <c r="H149" s="897" t="n"/>
      <c r="I149" s="897" t="n"/>
      <c r="J149" s="897" t="n"/>
      <c r="K149" s="998" t="n"/>
      <c r="M149" s="891" t="n"/>
      <c r="N149" s="891" t="n"/>
      <c r="O149" s="891" t="n"/>
      <c r="P149" s="892" t="n"/>
    </row>
    <row r="150" ht="17.25" customHeight="1" s="614">
      <c r="A150" s="780" t="n"/>
      <c r="B150" s="780" t="n"/>
      <c r="C150" s="832" t="inlineStr">
        <is>
          <t>普通電力量（×１０ｋw）</t>
        </is>
      </c>
      <c r="D150" s="639" t="n"/>
      <c r="E150" s="640" t="n"/>
      <c r="F150" s="903" t="inlineStr">
        <is>
          <t>読み</t>
        </is>
      </c>
      <c r="G150" s="902" t="n"/>
      <c r="H150" s="902" t="n"/>
      <c r="I150" s="902" t="n"/>
      <c r="J150" s="902" t="n"/>
      <c r="K150" s="1000" t="n"/>
      <c r="M150" s="891" t="n"/>
      <c r="N150" s="904" t="n"/>
      <c r="O150" s="891" t="n"/>
      <c r="P150" s="892" t="n"/>
    </row>
    <row r="151" ht="17.25" customHeight="1" s="614">
      <c r="A151" s="780" t="n"/>
      <c r="B151" s="780" t="n"/>
      <c r="C151" s="657" t="n"/>
      <c r="D151" s="653" t="n"/>
      <c r="E151" s="654" t="n"/>
      <c r="F151" s="896" t="inlineStr">
        <is>
          <t>使用量</t>
        </is>
      </c>
      <c r="G151" s="906" t="n"/>
      <c r="H151" s="906" t="n"/>
      <c r="I151" s="906" t="n"/>
      <c r="J151" s="906" t="n"/>
      <c r="K151" s="1001" t="n"/>
      <c r="M151" s="891" t="n"/>
      <c r="N151" s="891" t="n"/>
      <c r="O151" s="891" t="n"/>
      <c r="P151" s="892" t="n"/>
    </row>
    <row r="152" ht="17.25" customHeight="1" s="614">
      <c r="A152" s="780" t="n"/>
      <c r="B152" s="780" t="n"/>
      <c r="C152" s="832" t="inlineStr">
        <is>
          <t>引込・受電設定</t>
        </is>
      </c>
      <c r="D152" s="639" t="n"/>
      <c r="E152" s="640" t="n"/>
      <c r="F152" s="903" t="inlineStr">
        <is>
          <t>手動/自動</t>
        </is>
      </c>
      <c r="G152" s="908" t="n"/>
      <c r="H152" s="908" t="n"/>
      <c r="I152" s="908" t="n"/>
      <c r="J152" s="908" t="n"/>
      <c r="K152" s="907" t="n"/>
      <c r="M152" s="904" t="n"/>
      <c r="N152" s="904" t="n"/>
      <c r="O152" s="891" t="n"/>
      <c r="P152" s="892" t="n"/>
    </row>
    <row r="153" ht="17.25" customHeight="1" s="614">
      <c r="A153" s="780" t="n"/>
      <c r="B153" s="769" t="n"/>
      <c r="C153" s="657" t="n"/>
      <c r="D153" s="653" t="n"/>
      <c r="E153" s="654" t="n"/>
      <c r="F153" s="896" t="inlineStr">
        <is>
          <t>切/入</t>
        </is>
      </c>
      <c r="G153" s="910" t="n"/>
      <c r="H153" s="910" t="n"/>
      <c r="I153" s="910" t="n"/>
      <c r="J153" s="910" t="n"/>
      <c r="K153" s="909" t="n"/>
      <c r="M153" s="904" t="n"/>
      <c r="N153" s="904" t="n"/>
      <c r="O153" s="891" t="n"/>
      <c r="P153" s="892" t="n"/>
    </row>
    <row r="154" ht="17.25" customHeight="1" s="614">
      <c r="A154" s="780" t="n"/>
      <c r="B154" s="911" t="inlineStr">
        <is>
          <t>変圧器</t>
        </is>
      </c>
      <c r="C154" s="912" t="inlineStr">
        <is>
          <t>主変圧器温度</t>
        </is>
      </c>
      <c r="D154" s="639" t="n"/>
      <c r="E154" s="640" t="n"/>
      <c r="F154" s="894" t="inlineStr">
        <is>
          <t>℃</t>
        </is>
      </c>
      <c r="G154" s="902" t="n"/>
      <c r="H154" s="902" t="n"/>
      <c r="I154" s="902" t="n"/>
      <c r="J154" s="902" t="n"/>
      <c r="K154" s="1000" t="n"/>
      <c r="M154" s="891" t="n"/>
      <c r="N154" s="891" t="n"/>
      <c r="O154" s="891" t="n"/>
      <c r="P154" s="892" t="n"/>
    </row>
    <row r="155" ht="17.25" customHeight="1" s="614">
      <c r="A155" s="780" t="n"/>
      <c r="B155" s="769" t="n"/>
      <c r="C155" s="835" t="inlineStr">
        <is>
          <t>異音、脱臭の有無</t>
        </is>
      </c>
      <c r="D155" s="653" t="n"/>
      <c r="E155" s="654" t="n"/>
      <c r="F155" s="896" t="inlineStr">
        <is>
          <t>有・無</t>
        </is>
      </c>
      <c r="G155" s="910" t="n"/>
      <c r="H155" s="910" t="n"/>
      <c r="I155" s="910" t="n"/>
      <c r="J155" s="910" t="n"/>
      <c r="K155" s="909" t="n"/>
      <c r="M155" s="904" t="n"/>
      <c r="N155" s="904" t="n"/>
      <c r="O155" s="891" t="n"/>
      <c r="P155" s="892" t="n"/>
    </row>
    <row r="156" ht="17.25" customHeight="1" s="614">
      <c r="A156" s="780" t="n"/>
      <c r="B156" s="914" t="inlineStr">
        <is>
          <t>低　　圧　　分　　岐</t>
        </is>
      </c>
      <c r="C156" s="832" t="inlineStr">
        <is>
          <t>動力（２１０V）　電圧</t>
        </is>
      </c>
      <c r="D156" s="639" t="n"/>
      <c r="E156" s="640" t="n"/>
      <c r="F156" s="894" t="inlineStr">
        <is>
          <t>V</t>
        </is>
      </c>
      <c r="G156" s="804" t="n"/>
      <c r="H156" s="804" t="n"/>
      <c r="I156" s="804" t="n"/>
      <c r="J156" s="804" t="n"/>
      <c r="K156" s="997" t="n"/>
      <c r="M156" s="891" t="n"/>
      <c r="N156" s="891" t="n"/>
      <c r="O156" s="891" t="n"/>
      <c r="P156" s="892" t="n"/>
    </row>
    <row r="157" ht="17.25" customHeight="1" s="614">
      <c r="A157" s="780" t="n"/>
      <c r="B157" s="780" t="n"/>
      <c r="C157" s="657" t="n"/>
      <c r="D157" s="653" t="n"/>
      <c r="E157" s="654" t="n"/>
      <c r="F157" s="896" t="inlineStr">
        <is>
          <t>モード</t>
        </is>
      </c>
      <c r="G157" s="929" t="n"/>
      <c r="H157" s="929" t="n"/>
      <c r="I157" s="929" t="n"/>
      <c r="J157" s="929" t="n"/>
      <c r="K157" s="998" t="n"/>
      <c r="M157" s="891" t="n"/>
      <c r="N157" s="891" t="n"/>
      <c r="O157" s="891" t="n"/>
      <c r="P157" s="892" t="n"/>
    </row>
    <row r="158" ht="17.25" customHeight="1" s="614">
      <c r="A158" s="780" t="n"/>
      <c r="B158" s="780" t="n"/>
      <c r="C158" s="832" t="inlineStr">
        <is>
          <t>動力（２１０V）　電流</t>
        </is>
      </c>
      <c r="D158" s="639" t="n"/>
      <c r="E158" s="640" t="n"/>
      <c r="F158" s="916" t="inlineStr">
        <is>
          <t>A</t>
        </is>
      </c>
      <c r="G158" s="918" t="n"/>
      <c r="H158" s="918" t="n"/>
      <c r="I158" s="918" t="n"/>
      <c r="J158" s="918" t="n"/>
      <c r="K158" s="1002" t="n"/>
      <c r="M158" s="891" t="n"/>
      <c r="N158" s="891" t="n"/>
      <c r="O158" s="891" t="n"/>
      <c r="P158" s="892" t="n"/>
    </row>
    <row r="159" ht="17.25" customHeight="1" s="614">
      <c r="A159" s="780" t="n"/>
      <c r="B159" s="780" t="n"/>
      <c r="C159" s="657" t="n"/>
      <c r="D159" s="653" t="n"/>
      <c r="E159" s="654" t="n"/>
      <c r="F159" s="919" t="inlineStr">
        <is>
          <t>モード</t>
        </is>
      </c>
      <c r="G159" s="1003" t="n"/>
      <c r="H159" s="1003" t="n"/>
      <c r="I159" s="1003" t="n"/>
      <c r="J159" s="1003" t="n"/>
      <c r="K159" s="1004" t="n"/>
      <c r="M159" s="891" t="n"/>
      <c r="N159" s="891" t="n"/>
      <c r="O159" s="891" t="n"/>
      <c r="P159" s="892" t="n"/>
    </row>
    <row r="160" ht="17.25" customHeight="1" s="614">
      <c r="A160" s="780" t="n"/>
      <c r="B160" s="780" t="n"/>
      <c r="C160" s="832" t="inlineStr">
        <is>
          <t>照明(210-105V)   電流</t>
        </is>
      </c>
      <c r="D160" s="639" t="n"/>
      <c r="E160" s="640" t="n"/>
      <c r="F160" s="916" t="inlineStr">
        <is>
          <t>A</t>
        </is>
      </c>
      <c r="G160" s="918" t="n"/>
      <c r="H160" s="918" t="n"/>
      <c r="I160" s="918" t="n"/>
      <c r="J160" s="918" t="n"/>
      <c r="K160" s="1002" t="n"/>
      <c r="M160" s="891" t="n"/>
      <c r="N160" s="891" t="n"/>
      <c r="O160" s="891" t="n"/>
      <c r="P160" s="892" t="n"/>
    </row>
    <row r="161" ht="17.25" customHeight="1" s="614">
      <c r="A161" s="780" t="n"/>
      <c r="B161" s="780" t="n"/>
      <c r="C161" s="657" t="n"/>
      <c r="D161" s="653" t="n"/>
      <c r="E161" s="654" t="n"/>
      <c r="F161" s="919" t="inlineStr">
        <is>
          <t>モード</t>
        </is>
      </c>
      <c r="G161" s="905" t="n"/>
      <c r="H161" s="983" t="n"/>
      <c r="I161" s="929" t="n"/>
      <c r="J161" s="929" t="n"/>
      <c r="K161" s="998" t="n"/>
      <c r="M161" s="904" t="n"/>
      <c r="N161" s="904" t="n"/>
      <c r="O161" s="904" t="n"/>
      <c r="P161" s="892" t="n"/>
    </row>
    <row r="162" ht="17.25" customHeight="1" s="614">
      <c r="A162" s="780" t="n"/>
      <c r="B162" s="780" t="n"/>
      <c r="C162" s="832" t="inlineStr">
        <is>
          <t>低圧分岐設備</t>
        </is>
      </c>
      <c r="D162" s="626" t="n"/>
      <c r="E162" s="627" t="n"/>
      <c r="F162" s="922" t="inlineStr">
        <is>
          <t>買電/自家発</t>
        </is>
      </c>
      <c r="G162" s="767" t="n"/>
      <c r="H162" s="767" t="n"/>
      <c r="I162" s="767" t="n"/>
      <c r="J162" s="767" t="n"/>
      <c r="K162" s="874" t="n"/>
      <c r="M162" s="904" t="n"/>
      <c r="N162" s="904" t="n"/>
      <c r="O162" s="891" t="n"/>
      <c r="P162" s="892" t="n"/>
    </row>
    <row r="163" ht="17.25" customHeight="1" s="614">
      <c r="A163" s="780" t="n"/>
      <c r="B163" s="780" t="n"/>
      <c r="C163" s="912" t="inlineStr">
        <is>
          <t>動力制御盤1</t>
        </is>
      </c>
      <c r="D163" s="639" t="n"/>
      <c r="E163" s="640" t="n"/>
      <c r="F163" s="923" t="inlineStr">
        <is>
          <t>読み</t>
        </is>
      </c>
      <c r="G163" s="925" t="n"/>
      <c r="H163" s="925" t="n"/>
      <c r="I163" s="925" t="n"/>
      <c r="J163" s="925" t="n"/>
      <c r="K163" s="1005" t="n"/>
      <c r="M163" s="891" t="n"/>
      <c r="N163" s="891" t="n"/>
      <c r="O163" s="891" t="n"/>
      <c r="P163" s="892" t="n"/>
    </row>
    <row r="164" ht="17.25" customHeight="1" s="614">
      <c r="A164" s="780" t="n"/>
      <c r="B164" s="780" t="n"/>
      <c r="C164" s="835" t="inlineStr">
        <is>
          <t>（×１ｋｗｈ）</t>
        </is>
      </c>
      <c r="D164" s="653" t="n"/>
      <c r="E164" s="654" t="n"/>
      <c r="F164" s="896" t="inlineStr">
        <is>
          <t>使用量</t>
        </is>
      </c>
      <c r="G164" s="906" t="n"/>
      <c r="H164" s="906" t="n"/>
      <c r="I164" s="906" t="n"/>
      <c r="J164" s="906" t="n"/>
      <c r="K164" s="1001" t="n"/>
      <c r="M164" s="891" t="n"/>
      <c r="N164" s="891" t="n"/>
      <c r="O164" s="891" t="n"/>
      <c r="P164" s="892" t="n"/>
    </row>
    <row r="165" ht="17.25" customHeight="1" s="614">
      <c r="A165" s="780" t="n"/>
      <c r="B165" s="780" t="n"/>
      <c r="C165" s="912" t="inlineStr">
        <is>
          <t>動力制御盤2</t>
        </is>
      </c>
      <c r="D165" s="639" t="n"/>
      <c r="E165" s="640" t="n"/>
      <c r="F165" s="923" t="inlineStr">
        <is>
          <t>読み</t>
        </is>
      </c>
      <c r="G165" s="925" t="n"/>
      <c r="H165" s="925" t="n"/>
      <c r="I165" s="925" t="n"/>
      <c r="J165" s="925" t="n"/>
      <c r="K165" s="1005" t="n"/>
      <c r="M165" s="891" t="n"/>
      <c r="N165" s="891" t="n"/>
      <c r="O165" s="891" t="n"/>
      <c r="P165" s="892" t="n"/>
    </row>
    <row r="166" ht="17.25" customHeight="1" s="614">
      <c r="A166" s="780" t="n"/>
      <c r="B166" s="780" t="n"/>
      <c r="C166" s="835" t="inlineStr">
        <is>
          <t>（×１ｋｗｈ）</t>
        </is>
      </c>
      <c r="D166" s="653" t="n"/>
      <c r="E166" s="654" t="n"/>
      <c r="F166" s="896" t="inlineStr">
        <is>
          <t>使用量</t>
        </is>
      </c>
      <c r="G166" s="906" t="n"/>
      <c r="H166" s="906" t="n"/>
      <c r="I166" s="906" t="n"/>
      <c r="J166" s="906" t="n"/>
      <c r="K166" s="1001" t="n"/>
      <c r="M166" s="891" t="n"/>
      <c r="N166" s="891" t="n"/>
      <c r="O166" s="891" t="n"/>
      <c r="P166" s="892" t="n"/>
    </row>
    <row r="167" ht="17.25" customHeight="1" s="614">
      <c r="A167" s="780" t="n"/>
      <c r="B167" s="780" t="n"/>
      <c r="C167" s="912" t="inlineStr">
        <is>
          <t>動力制御盤3</t>
        </is>
      </c>
      <c r="D167" s="639" t="n"/>
      <c r="E167" s="640" t="n"/>
      <c r="F167" s="923" t="inlineStr">
        <is>
          <t>読み</t>
        </is>
      </c>
      <c r="G167" s="918" t="n"/>
      <c r="H167" s="918" t="n"/>
      <c r="I167" s="918" t="n"/>
      <c r="J167" s="918" t="n"/>
      <c r="K167" s="1002" t="n"/>
      <c r="M167" s="891" t="n"/>
      <c r="N167" s="891" t="n"/>
      <c r="O167" s="891" t="n"/>
      <c r="P167" s="892" t="n"/>
    </row>
    <row r="168" ht="17.25" customHeight="1" s="614">
      <c r="A168" s="780" t="n"/>
      <c r="B168" s="780" t="n"/>
      <c r="C168" s="835" t="inlineStr">
        <is>
          <t>（×１ｋｗｈ）</t>
        </is>
      </c>
      <c r="D168" s="653" t="n"/>
      <c r="E168" s="654" t="n"/>
      <c r="F168" s="896" t="inlineStr">
        <is>
          <t>使用量</t>
        </is>
      </c>
      <c r="G168" s="906" t="n"/>
      <c r="H168" s="906" t="n"/>
      <c r="I168" s="906" t="n"/>
      <c r="J168" s="906" t="n"/>
      <c r="K168" s="1001" t="n"/>
      <c r="M168" s="891" t="n"/>
      <c r="N168" s="891" t="n"/>
      <c r="O168" s="891" t="n"/>
      <c r="P168" s="892" t="n"/>
    </row>
    <row r="169" ht="17.25" customHeight="1" s="614">
      <c r="A169" s="780" t="n"/>
      <c r="B169" s="780" t="n"/>
      <c r="C169" s="912" t="inlineStr">
        <is>
          <t>動力制御盤4</t>
        </is>
      </c>
      <c r="D169" s="639" t="n"/>
      <c r="E169" s="640" t="n"/>
      <c r="F169" s="923" t="inlineStr">
        <is>
          <t>読み</t>
        </is>
      </c>
      <c r="G169" s="928" t="n"/>
      <c r="H169" s="928" t="n"/>
      <c r="I169" s="928" t="n"/>
      <c r="J169" s="928" t="n"/>
      <c r="K169" s="1006" t="n"/>
      <c r="M169" s="891" t="n"/>
      <c r="N169" s="891" t="n"/>
      <c r="O169" s="891" t="n"/>
      <c r="P169" s="892" t="n"/>
    </row>
    <row r="170" ht="17.25" customHeight="1" s="614">
      <c r="A170" s="780" t="n"/>
      <c r="B170" s="780" t="n"/>
      <c r="C170" s="835" t="inlineStr">
        <is>
          <t>（×１ｋｗｈ）</t>
        </is>
      </c>
      <c r="D170" s="653" t="n"/>
      <c r="E170" s="654" t="n"/>
      <c r="F170" s="896" t="inlineStr">
        <is>
          <t>使用量</t>
        </is>
      </c>
      <c r="G170" s="929" t="n"/>
      <c r="H170" s="929" t="n"/>
      <c r="I170" s="929" t="n"/>
      <c r="J170" s="929" t="n"/>
      <c r="K170" s="998" t="n"/>
      <c r="M170" s="891" t="n"/>
      <c r="N170" s="891" t="n"/>
      <c r="O170" s="891" t="n"/>
      <c r="P170" s="892" t="n"/>
    </row>
    <row r="171" ht="17.25" customHeight="1" s="614">
      <c r="A171" s="780" t="n"/>
      <c r="B171" s="780" t="n"/>
      <c r="C171" s="930" t="inlineStr">
        <is>
          <t>No.１　コンデンサー(電磁接触器)</t>
        </is>
      </c>
      <c r="D171" s="626" t="n"/>
      <c r="E171" s="627" t="n"/>
      <c r="F171" s="767" t="inlineStr">
        <is>
          <t>切/入</t>
        </is>
      </c>
      <c r="G171" s="874" t="n"/>
      <c r="H171" s="874" t="n"/>
      <c r="I171" s="874" t="n"/>
      <c r="J171" s="874" t="n"/>
      <c r="K171" s="874" t="n"/>
      <c r="M171" s="904" t="n"/>
      <c r="N171" s="904" t="n"/>
      <c r="O171" s="891" t="n"/>
      <c r="P171" s="892" t="n"/>
    </row>
    <row r="172" ht="17.25" customHeight="1" s="614">
      <c r="A172" s="780" t="n"/>
      <c r="B172" s="780" t="n"/>
      <c r="C172" s="930" t="inlineStr">
        <is>
          <t>No.２　コンデンサー(電磁接触器)</t>
        </is>
      </c>
      <c r="D172" s="626" t="n"/>
      <c r="E172" s="627" t="n"/>
      <c r="F172" s="767" t="inlineStr">
        <is>
          <t>切/入</t>
        </is>
      </c>
      <c r="G172" s="874" t="n"/>
      <c r="H172" s="874" t="n"/>
      <c r="I172" s="874" t="n"/>
      <c r="J172" s="874" t="n"/>
      <c r="K172" s="874" t="n"/>
      <c r="M172" s="891" t="n"/>
      <c r="N172" s="891" t="n"/>
      <c r="O172" s="891" t="n"/>
      <c r="P172" s="892" t="n"/>
    </row>
    <row r="173" ht="17.25" customHeight="1" s="614">
      <c r="A173" s="769" t="n"/>
      <c r="B173" s="769" t="n"/>
      <c r="C173" s="930" t="inlineStr">
        <is>
          <t>No.３　コンデンサー(電磁接触器)</t>
        </is>
      </c>
      <c r="D173" s="626" t="n"/>
      <c r="E173" s="627" t="n"/>
      <c r="F173" s="767" t="inlineStr">
        <is>
          <t>切/入</t>
        </is>
      </c>
      <c r="G173" s="874" t="n"/>
      <c r="H173" s="874" t="n"/>
      <c r="I173" s="874" t="n"/>
      <c r="J173" s="874" t="n"/>
      <c r="K173" s="874" t="n"/>
      <c r="M173" s="891" t="n"/>
      <c r="N173" s="891" t="n"/>
      <c r="O173" s="891" t="n"/>
      <c r="P173" s="892" t="n"/>
    </row>
    <row r="174" ht="13.5" customHeight="1" s="614">
      <c r="A174" s="931" t="inlineStr">
        <is>
          <t>備　考</t>
        </is>
      </c>
      <c r="B174" s="930" t="n"/>
      <c r="C174" s="639" t="n"/>
      <c r="D174" s="639" t="n"/>
      <c r="E174" s="639" t="n"/>
      <c r="F174" s="639" t="n"/>
      <c r="G174" s="639" t="n"/>
      <c r="H174" s="639" t="n"/>
      <c r="I174" s="639" t="n"/>
      <c r="J174" s="639" t="n"/>
      <c r="K174" s="640" t="n"/>
      <c r="M174" s="891" t="n"/>
      <c r="N174" s="891" t="n"/>
      <c r="O174" s="891" t="n"/>
      <c r="P174" s="892" t="n"/>
    </row>
    <row r="175" ht="13.5" customHeight="1" s="614">
      <c r="A175" s="780" t="n"/>
      <c r="B175" s="668" t="n"/>
      <c r="K175" s="647" t="n"/>
      <c r="M175" s="891" t="n"/>
      <c r="N175" s="891" t="n"/>
      <c r="O175" s="891" t="n"/>
      <c r="P175" s="892" t="n"/>
    </row>
    <row r="176" ht="13.5" customHeight="1" s="614">
      <c r="A176" s="769" t="n"/>
      <c r="B176" s="657" t="n"/>
      <c r="C176" s="653" t="n"/>
      <c r="D176" s="653" t="n"/>
      <c r="E176" s="653" t="n"/>
      <c r="F176" s="653" t="n"/>
      <c r="G176" s="653" t="n"/>
      <c r="H176" s="653" t="n"/>
      <c r="I176" s="653" t="n"/>
      <c r="J176" s="653" t="n"/>
      <c r="K176" s="654" t="n"/>
      <c r="M176" s="891" t="n"/>
      <c r="N176" s="891" t="n"/>
      <c r="O176" s="891" t="n"/>
      <c r="P176" s="892" t="n"/>
    </row>
    <row r="177" ht="21" customHeight="1" s="614">
      <c r="A177" s="764" t="inlineStr">
        <is>
          <t xml:space="preserve">　電気設備日常点検（２/２）</t>
        </is>
      </c>
      <c r="M177" s="891" t="n"/>
      <c r="N177" s="891" t="n"/>
      <c r="O177" s="891" t="n"/>
      <c r="P177" s="892" t="n"/>
    </row>
    <row r="178" ht="16.5" customHeight="1" s="614">
      <c r="A178" s="932" t="n"/>
      <c r="B178" s="767" t="inlineStr">
        <is>
          <t>機器名</t>
        </is>
      </c>
      <c r="C178" s="640" t="n"/>
      <c r="D178" s="767" t="inlineStr">
        <is>
          <t>点　　検　　者　　氏　　名</t>
        </is>
      </c>
      <c r="E178" s="626" t="n"/>
      <c r="F178" s="627" t="n"/>
      <c r="G178" s="767" t="n"/>
      <c r="H178" s="767" t="n"/>
      <c r="I178" s="767" t="n"/>
      <c r="J178" s="767" t="n"/>
      <c r="K178" s="767" t="n"/>
      <c r="M178" s="891" t="n"/>
      <c r="N178" s="891" t="n"/>
      <c r="O178" s="891" t="n"/>
      <c r="P178" s="892" t="n"/>
    </row>
    <row r="179" ht="16.5" customHeight="1" s="614">
      <c r="A179" s="769" t="n"/>
      <c r="B179" s="657" t="n"/>
      <c r="C179" s="654" t="n"/>
      <c r="D179" s="767" t="inlineStr">
        <is>
          <t>点　　　検　　　内　　　容</t>
        </is>
      </c>
      <c r="E179" s="626" t="n"/>
      <c r="F179" s="627" t="n"/>
      <c r="G179" s="771" t="n"/>
      <c r="H179" s="771" t="n"/>
      <c r="I179" s="771" t="n"/>
      <c r="J179" s="771" t="n"/>
      <c r="K179" s="771" t="n"/>
      <c r="M179" s="891" t="n"/>
      <c r="N179" s="891" t="n"/>
      <c r="O179" s="891" t="n"/>
      <c r="P179" s="892" t="n"/>
    </row>
    <row r="180" ht="15.75" customHeight="1" s="614">
      <c r="A180" s="893" t="inlineStr">
        <is>
          <t>計　　　　　装　　　　　設　　　　　備</t>
        </is>
      </c>
      <c r="B180" s="878" t="inlineStr">
        <is>
          <t>ポンプ井
水位計</t>
        </is>
      </c>
      <c r="C180" s="640" t="n"/>
      <c r="D180" s="849" t="inlineStr">
        <is>
          <t>外観の確認</t>
        </is>
      </c>
      <c r="E180" s="639" t="n"/>
      <c r="G180" s="804" t="n"/>
      <c r="H180" s="804" t="n"/>
      <c r="I180" s="804" t="n"/>
      <c r="J180" s="804" t="n"/>
      <c r="K180" s="804" t="n"/>
      <c r="M180" s="891" t="n"/>
      <c r="N180" s="891" t="n"/>
      <c r="O180" s="891" t="n"/>
      <c r="P180" s="892" t="n"/>
    </row>
    <row r="181" ht="15.75" customHeight="1" s="614">
      <c r="A181" s="780" t="n"/>
      <c r="B181" s="668" t="n"/>
      <c r="C181" s="647" t="n"/>
      <c r="D181" s="1007" t="inlineStr">
        <is>
          <t>指示状況の確認</t>
        </is>
      </c>
      <c r="E181" s="672" t="n"/>
      <c r="F181" s="935" t="n"/>
      <c r="G181" s="936" t="n"/>
      <c r="H181" s="936" t="n"/>
      <c r="I181" s="936" t="n"/>
      <c r="J181" s="936" t="n"/>
      <c r="K181" s="936" t="n"/>
      <c r="M181" s="891" t="n"/>
      <c r="N181" s="891" t="n"/>
      <c r="O181" s="891" t="n"/>
      <c r="P181" s="892" t="n"/>
    </row>
    <row r="182" ht="15.75" customHeight="1" s="614">
      <c r="A182" s="780" t="n"/>
      <c r="B182" s="657" t="n"/>
      <c r="C182" s="654" t="n"/>
      <c r="D182" s="820" t="inlineStr">
        <is>
          <t>計器読み</t>
        </is>
      </c>
      <c r="F182" s="939" t="inlineStr">
        <is>
          <t>ｍ</t>
        </is>
      </c>
      <c r="G182" s="940" t="n"/>
      <c r="H182" s="940" t="n"/>
      <c r="I182" s="940" t="n"/>
      <c r="J182" s="940" t="n"/>
      <c r="K182" s="940" t="n"/>
      <c r="M182" s="891" t="n"/>
      <c r="N182" s="891" t="n"/>
      <c r="O182" s="891" t="n"/>
      <c r="P182" s="892" t="n"/>
    </row>
    <row r="183" ht="15.75" customHeight="1" s="614">
      <c r="A183" s="780" t="n"/>
      <c r="B183" s="941" t="inlineStr">
        <is>
          <t>Nｏ．１オキシデーションディッチＤＯ計</t>
        </is>
      </c>
      <c r="C183" s="640" t="n"/>
      <c r="D183" s="942" t="inlineStr">
        <is>
          <t>外観の確認</t>
        </is>
      </c>
      <c r="E183" s="688" t="n"/>
      <c r="F183" s="943" t="n"/>
      <c r="G183" s="804" t="n"/>
      <c r="H183" s="804" t="n"/>
      <c r="I183" s="804" t="n"/>
      <c r="J183" s="804" t="n"/>
      <c r="K183" s="804" t="n"/>
      <c r="M183" s="891" t="n"/>
      <c r="N183" s="891" t="n"/>
      <c r="O183" s="891" t="n"/>
      <c r="P183" s="892" t="n"/>
    </row>
    <row r="184" ht="15.75" customHeight="1" s="614">
      <c r="A184" s="780" t="n"/>
      <c r="B184" s="668" t="n"/>
      <c r="C184" s="647" t="n"/>
      <c r="D184" s="1008" t="inlineStr">
        <is>
          <t>指示状況の確認</t>
        </is>
      </c>
      <c r="E184" s="1009" t="n"/>
      <c r="F184" s="946" t="n"/>
      <c r="G184" s="936" t="n"/>
      <c r="H184" s="936" t="n"/>
      <c r="I184" s="936" t="n"/>
      <c r="J184" s="936" t="n"/>
      <c r="K184" s="936" t="n"/>
      <c r="M184" s="891" t="n"/>
      <c r="N184" s="891" t="n"/>
      <c r="O184" s="891" t="n"/>
      <c r="P184" s="892" t="n"/>
    </row>
    <row r="185" ht="15.75" customHeight="1" s="614">
      <c r="A185" s="780" t="n"/>
      <c r="B185" s="657" t="n"/>
      <c r="C185" s="654" t="n"/>
      <c r="D185" s="947" t="inlineStr">
        <is>
          <t>ＤＯ値</t>
        </is>
      </c>
      <c r="E185" s="692" t="n"/>
      <c r="F185" s="948" t="inlineStr">
        <is>
          <t>㎎/ℓ</t>
        </is>
      </c>
      <c r="G185" s="949" t="n"/>
      <c r="H185" s="949" t="n"/>
      <c r="I185" s="949" t="n"/>
      <c r="J185" s="949" t="n"/>
      <c r="K185" s="949" t="n"/>
      <c r="M185" s="891" t="n"/>
      <c r="N185" s="891" t="n"/>
      <c r="O185" s="891" t="n"/>
      <c r="P185" s="892" t="n"/>
    </row>
    <row r="186" ht="15.75" customHeight="1" s="614">
      <c r="A186" s="780" t="n"/>
      <c r="B186" s="772" t="inlineStr">
        <is>
          <t>返送汚泥流量計</t>
        </is>
      </c>
      <c r="C186" s="640" t="n"/>
      <c r="D186" s="942" t="inlineStr">
        <is>
          <t>外観の確認</t>
        </is>
      </c>
      <c r="E186" s="688" t="n"/>
      <c r="F186" s="950" t="n"/>
      <c r="G186" s="804" t="n"/>
      <c r="H186" s="804" t="n"/>
      <c r="I186" s="804" t="n"/>
      <c r="J186" s="804" t="n"/>
      <c r="K186" s="804" t="n"/>
      <c r="M186" s="891" t="n"/>
      <c r="N186" s="891" t="n"/>
      <c r="O186" s="891" t="n"/>
      <c r="P186" s="892" t="n"/>
    </row>
    <row r="187" ht="15.75" customHeight="1" s="614">
      <c r="A187" s="780" t="n"/>
      <c r="B187" s="668" t="n"/>
      <c r="C187" s="647" t="n"/>
      <c r="D187" s="944" t="inlineStr">
        <is>
          <t>指示状況の確認</t>
        </is>
      </c>
      <c r="E187" s="945" t="n"/>
      <c r="F187" s="952" t="n"/>
      <c r="G187" s="936" t="n"/>
      <c r="H187" s="936" t="n"/>
      <c r="I187" s="936" t="n"/>
      <c r="J187" s="936" t="n"/>
      <c r="K187" s="936" t="n"/>
      <c r="M187" s="891" t="n"/>
      <c r="N187" s="891" t="n"/>
      <c r="O187" s="891" t="n"/>
      <c r="P187" s="892" t="n"/>
    </row>
    <row r="188" ht="15.75" customHeight="1" s="614">
      <c r="A188" s="780" t="n"/>
      <c r="B188" s="668" t="n"/>
      <c r="C188" s="647" t="n"/>
      <c r="D188" s="944" t="inlineStr">
        <is>
          <t>流量計の読み</t>
        </is>
      </c>
      <c r="E188" s="945" t="n"/>
      <c r="F188" s="952" t="inlineStr">
        <is>
          <t>㎥/ｈ</t>
        </is>
      </c>
      <c r="G188" s="988" t="n"/>
      <c r="H188" s="988" t="n"/>
      <c r="I188" s="988" t="n"/>
      <c r="J188" s="988" t="n"/>
      <c r="K188" s="988" t="n"/>
      <c r="M188" s="891" t="n"/>
      <c r="N188" s="891" t="n"/>
      <c r="O188" s="891" t="n"/>
      <c r="P188" s="892" t="n"/>
    </row>
    <row r="189" ht="15.75" customHeight="1" s="614">
      <c r="A189" s="780" t="n"/>
      <c r="B189" s="657" t="n"/>
      <c r="C189" s="654" t="n"/>
      <c r="D189" s="947" t="inlineStr">
        <is>
          <t>流量計積算計読み</t>
        </is>
      </c>
      <c r="E189" s="692" t="n"/>
      <c r="F189" s="954" t="inlineStr">
        <is>
          <t>㎥</t>
        </is>
      </c>
      <c r="G189" s="966" t="n"/>
      <c r="H189" s="966" t="n"/>
      <c r="I189" s="966" t="n"/>
      <c r="J189" s="966" t="n"/>
      <c r="K189" s="966" t="n"/>
      <c r="M189" s="891" t="n"/>
      <c r="N189" s="891" t="n"/>
      <c r="O189" s="891" t="n"/>
      <c r="P189" s="892" t="n"/>
    </row>
    <row r="190" ht="15.75" customHeight="1" s="614">
      <c r="A190" s="780" t="n"/>
      <c r="B190" s="772" t="inlineStr">
        <is>
          <t>余剰汚泥流量計</t>
        </is>
      </c>
      <c r="C190" s="640" t="n"/>
      <c r="D190" s="942" t="inlineStr">
        <is>
          <t>外観の確認</t>
        </is>
      </c>
      <c r="E190" s="688" t="n"/>
      <c r="F190" s="943" t="n"/>
      <c r="G190" s="804" t="n"/>
      <c r="H190" s="804" t="n"/>
      <c r="I190" s="804" t="n"/>
      <c r="J190" s="804" t="n"/>
      <c r="K190" s="804" t="n"/>
      <c r="M190" s="891" t="n"/>
      <c r="N190" s="891" t="n"/>
      <c r="O190" s="891" t="n"/>
      <c r="P190" s="892" t="n"/>
    </row>
    <row r="191" ht="15.75" customHeight="1" s="614">
      <c r="A191" s="780" t="n"/>
      <c r="B191" s="668" t="n"/>
      <c r="C191" s="647" t="n"/>
      <c r="D191" s="944" t="inlineStr">
        <is>
          <t>指示状況の確認</t>
        </is>
      </c>
      <c r="E191" s="945" t="n"/>
      <c r="F191" s="960" t="n"/>
      <c r="G191" s="1010" t="n"/>
      <c r="H191" s="1010" t="n"/>
      <c r="I191" s="1010" t="n"/>
      <c r="J191" s="1010" t="n"/>
      <c r="K191" s="1010" t="n"/>
      <c r="M191" s="891" t="n"/>
      <c r="N191" s="891" t="n"/>
      <c r="O191" s="891" t="n"/>
      <c r="P191" s="892" t="n"/>
    </row>
    <row r="192" ht="15.75" customHeight="1" s="614">
      <c r="A192" s="780" t="n"/>
      <c r="B192" s="668" t="n"/>
      <c r="C192" s="647" t="n"/>
      <c r="D192" s="959" t="inlineStr">
        <is>
          <t>No.１余剰汚泥ポンプ流量計読み</t>
        </is>
      </c>
      <c r="E192" s="945" t="n"/>
      <c r="F192" s="960" t="inlineStr">
        <is>
          <t>㎥/ｈ</t>
        </is>
      </c>
      <c r="G192" s="1011" t="n"/>
      <c r="H192" s="1011" t="n"/>
      <c r="I192" s="1011" t="n"/>
      <c r="J192" s="1011" t="n"/>
      <c r="K192" s="1011" t="n"/>
      <c r="M192" s="891" t="n"/>
      <c r="N192" s="891" t="n"/>
      <c r="O192" s="891" t="n"/>
      <c r="P192" s="892" t="n"/>
    </row>
    <row r="193" ht="15.75" customHeight="1" s="614">
      <c r="A193" s="780" t="n"/>
      <c r="B193" s="657" t="n"/>
      <c r="C193" s="654" t="n"/>
      <c r="D193" s="947" t="inlineStr">
        <is>
          <t>流量計積算読み</t>
        </is>
      </c>
      <c r="E193" s="692" t="n"/>
      <c r="F193" s="962" t="inlineStr">
        <is>
          <t>㎥</t>
        </is>
      </c>
      <c r="G193" s="1012" t="n"/>
      <c r="H193" s="1012" t="n"/>
      <c r="I193" s="1012" t="n"/>
      <c r="J193" s="1012" t="n"/>
      <c r="K193" s="1012" t="n"/>
      <c r="M193" s="891" t="n"/>
      <c r="N193" s="891" t="n"/>
      <c r="O193" s="891" t="n"/>
      <c r="P193" s="892" t="n"/>
    </row>
    <row r="194" ht="15.75" customHeight="1" s="614">
      <c r="A194" s="780" t="n"/>
      <c r="B194" s="772" t="inlineStr">
        <is>
          <t>放流流量計</t>
        </is>
      </c>
      <c r="C194" s="640" t="n"/>
      <c r="D194" s="942" t="inlineStr">
        <is>
          <t>外観の確認</t>
        </is>
      </c>
      <c r="E194" s="688" t="n"/>
      <c r="F194" s="943" t="n"/>
      <c r="G194" s="804" t="n"/>
      <c r="H194" s="804" t="n"/>
      <c r="I194" s="804" t="n"/>
      <c r="J194" s="804" t="n"/>
      <c r="K194" s="804" t="n"/>
      <c r="M194" s="891" t="n"/>
      <c r="N194" s="891" t="n"/>
      <c r="O194" s="891" t="n"/>
      <c r="P194" s="892" t="n"/>
    </row>
    <row r="195" ht="15.75" customHeight="1" s="614">
      <c r="A195" s="780" t="n"/>
      <c r="B195" s="668" t="n"/>
      <c r="C195" s="647" t="n"/>
      <c r="D195" s="944" t="inlineStr">
        <is>
          <t>指示状況の確認</t>
        </is>
      </c>
      <c r="E195" s="945" t="n"/>
      <c r="F195" s="960" t="n"/>
      <c r="G195" s="936" t="n"/>
      <c r="H195" s="936" t="n"/>
      <c r="I195" s="936" t="n"/>
      <c r="J195" s="936" t="n"/>
      <c r="K195" s="936" t="n"/>
      <c r="M195" s="891" t="n"/>
      <c r="N195" s="891" t="n"/>
      <c r="O195" s="891" t="n"/>
      <c r="P195" s="892" t="n"/>
    </row>
    <row r="196" ht="15.75" customHeight="1" s="614">
      <c r="A196" s="780" t="n"/>
      <c r="B196" s="668" t="n"/>
      <c r="C196" s="647" t="n"/>
      <c r="D196" s="944" t="inlineStr">
        <is>
          <t>流量計の読み</t>
        </is>
      </c>
      <c r="E196" s="945" t="n"/>
      <c r="F196" s="960" t="inlineStr">
        <is>
          <t>㎥/ｈ</t>
        </is>
      </c>
      <c r="G196" s="988" t="n"/>
      <c r="H196" s="988" t="n"/>
      <c r="I196" s="988" t="n"/>
      <c r="J196" s="988" t="n"/>
      <c r="K196" s="988" t="n"/>
      <c r="M196" s="891" t="n"/>
      <c r="N196" s="891" t="n"/>
      <c r="O196" s="891" t="n"/>
      <c r="P196" s="892" t="n"/>
    </row>
    <row r="197" ht="15.75" customHeight="1" s="614">
      <c r="A197" s="780" t="n"/>
      <c r="B197" s="657" t="n"/>
      <c r="C197" s="654" t="n"/>
      <c r="D197" s="947" t="inlineStr">
        <is>
          <t>流量計積算の読み</t>
        </is>
      </c>
      <c r="E197" s="692" t="n"/>
      <c r="F197" s="962" t="inlineStr">
        <is>
          <t>㎥</t>
        </is>
      </c>
      <c r="G197" s="966" t="n"/>
      <c r="H197" s="966" t="n"/>
      <c r="I197" s="966" t="n"/>
      <c r="J197" s="966" t="n"/>
      <c r="K197" s="966" t="n"/>
      <c r="M197" s="891" t="n"/>
      <c r="N197" s="891" t="n"/>
      <c r="O197" s="891" t="n"/>
      <c r="P197" s="892" t="n"/>
    </row>
    <row r="198" ht="15.75" customHeight="1" s="614">
      <c r="A198" s="780" t="n"/>
      <c r="B198" s="967" t="inlineStr">
        <is>
          <t>汚濁負荷量計</t>
        </is>
      </c>
      <c r="C198" s="640" t="n"/>
      <c r="D198" s="942" t="inlineStr">
        <is>
          <t>外観の確認</t>
        </is>
      </c>
      <c r="E198" s="688" t="n"/>
      <c r="F198" s="943" t="n"/>
      <c r="G198" s="928" t="n"/>
      <c r="H198" s="928" t="n"/>
      <c r="I198" s="928" t="n"/>
      <c r="J198" s="928" t="n"/>
      <c r="K198" s="928" t="n"/>
      <c r="M198" s="891" t="n"/>
      <c r="N198" s="891" t="n"/>
      <c r="O198" s="891" t="n"/>
      <c r="P198" s="892" t="n"/>
    </row>
    <row r="199" ht="15.75" customHeight="1" s="614">
      <c r="A199" s="780" t="n"/>
      <c r="B199" s="668" t="n"/>
      <c r="C199" s="647" t="n"/>
      <c r="D199" s="944" t="inlineStr">
        <is>
          <t>指示状況の確認</t>
        </is>
      </c>
      <c r="E199" s="945" t="n"/>
      <c r="F199" s="960" t="n"/>
      <c r="G199" s="968" t="n"/>
      <c r="H199" s="968" t="n"/>
      <c r="I199" s="968" t="n"/>
      <c r="J199" s="968" t="n"/>
      <c r="K199" s="968" t="n"/>
      <c r="M199" s="891" t="n"/>
      <c r="N199" s="891" t="n"/>
      <c r="O199" s="891" t="n"/>
      <c r="P199" s="892" t="n"/>
    </row>
    <row r="200" ht="15.75" customHeight="1" s="614">
      <c r="A200" s="780" t="n"/>
      <c r="B200" s="969" t="inlineStr">
        <is>
          <t>（放流水ＵＶ）</t>
        </is>
      </c>
      <c r="C200" s="647" t="n"/>
      <c r="D200" s="944" t="inlineStr">
        <is>
          <t>ＵＶ値</t>
        </is>
      </c>
      <c r="E200" s="945" t="n"/>
      <c r="F200" s="970" t="inlineStr">
        <is>
          <t>Abs</t>
        </is>
      </c>
      <c r="G200" s="971" t="n"/>
      <c r="H200" s="971" t="n"/>
      <c r="I200" s="971" t="n"/>
      <c r="J200" s="971" t="n"/>
      <c r="K200" s="971" t="n"/>
      <c r="M200" s="891" t="n"/>
      <c r="N200" s="891" t="n"/>
      <c r="O200" s="891" t="n"/>
      <c r="P200" s="892" t="n"/>
    </row>
    <row r="201" ht="15.75" customHeight="1" s="614">
      <c r="A201" s="780" t="n"/>
      <c r="B201" s="657" t="n"/>
      <c r="C201" s="654" t="n"/>
      <c r="D201" s="947" t="inlineStr">
        <is>
          <t>ＣＯＤ値</t>
        </is>
      </c>
      <c r="E201" s="692" t="n"/>
      <c r="F201" s="962" t="inlineStr">
        <is>
          <t>㎎/ℓ</t>
        </is>
      </c>
      <c r="G201" s="972" t="n"/>
      <c r="H201" s="972" t="n"/>
      <c r="I201" s="972" t="n"/>
      <c r="J201" s="972" t="n"/>
      <c r="K201" s="972" t="n"/>
      <c r="M201" s="891" t="n"/>
      <c r="N201" s="891" t="n"/>
      <c r="O201" s="891" t="n"/>
      <c r="P201" s="892" t="n"/>
    </row>
    <row r="202" ht="15.75" customHeight="1" s="614">
      <c r="A202" s="780" t="n"/>
      <c r="B202" s="772" t="inlineStr">
        <is>
          <t>全窒素・全燐計</t>
        </is>
      </c>
      <c r="C202" s="640" t="n"/>
      <c r="D202" s="942" t="inlineStr">
        <is>
          <t>外観の確認</t>
        </is>
      </c>
      <c r="E202" s="688" t="n"/>
      <c r="F202" s="943" t="n"/>
      <c r="G202" s="804" t="n"/>
      <c r="H202" s="804" t="n"/>
      <c r="I202" s="804" t="n"/>
      <c r="J202" s="804" t="n"/>
      <c r="K202" s="804" t="n"/>
      <c r="M202" s="891" t="n"/>
      <c r="N202" s="891" t="n"/>
      <c r="O202" s="891" t="n"/>
      <c r="P202" s="892" t="n"/>
    </row>
    <row r="203" ht="15.75" customHeight="1" s="614">
      <c r="A203" s="780" t="n"/>
      <c r="B203" s="668" t="n"/>
      <c r="C203" s="647" t="n"/>
      <c r="D203" s="944" t="inlineStr">
        <is>
          <t>指示状況の確認</t>
        </is>
      </c>
      <c r="E203" s="945" t="n"/>
      <c r="F203" s="960" t="n"/>
      <c r="G203" s="936" t="n"/>
      <c r="H203" s="936" t="n"/>
      <c r="I203" s="936" t="n"/>
      <c r="J203" s="936" t="n"/>
      <c r="K203" s="936" t="n"/>
      <c r="M203" s="891" t="n"/>
      <c r="N203" s="891" t="n"/>
      <c r="O203" s="891" t="n"/>
      <c r="P203" s="892" t="n"/>
    </row>
    <row r="204" ht="15.75" customHeight="1" s="614">
      <c r="A204" s="780" t="n"/>
      <c r="B204" s="668" t="n"/>
      <c r="C204" s="647" t="n"/>
      <c r="D204" s="944" t="inlineStr">
        <is>
          <t>計器読み（全窒素）</t>
        </is>
      </c>
      <c r="E204" s="945" t="n"/>
      <c r="F204" s="960" t="inlineStr">
        <is>
          <t>㎎/ℓ</t>
        </is>
      </c>
      <c r="G204" s="973" t="n"/>
      <c r="H204" s="973" t="n"/>
      <c r="I204" s="973" t="n"/>
      <c r="J204" s="973" t="n"/>
      <c r="K204" s="973" t="n"/>
      <c r="M204" s="891" t="n"/>
      <c r="N204" s="891" t="n"/>
      <c r="O204" s="891" t="n"/>
      <c r="P204" s="892" t="n"/>
    </row>
    <row r="205" ht="15.75" customHeight="1" s="614">
      <c r="A205" s="780" t="n"/>
      <c r="B205" s="657" t="n"/>
      <c r="C205" s="654" t="n"/>
      <c r="D205" s="947" t="inlineStr">
        <is>
          <t>計器読み（全りん）</t>
        </is>
      </c>
      <c r="E205" s="692" t="n"/>
      <c r="F205" s="948" t="inlineStr">
        <is>
          <t>㎎/ℓ</t>
        </is>
      </c>
      <c r="G205" s="972" t="n"/>
      <c r="H205" s="972" t="n"/>
      <c r="I205" s="972" t="n"/>
      <c r="J205" s="972" t="n"/>
      <c r="K205" s="972" t="n"/>
      <c r="M205" s="891" t="n"/>
      <c r="N205" s="891" t="n"/>
      <c r="O205" s="891" t="n"/>
      <c r="P205" s="892" t="n"/>
    </row>
    <row r="206" ht="15.75" customHeight="1" s="614">
      <c r="A206" s="780" t="n"/>
      <c r="B206" s="878" t="inlineStr">
        <is>
          <t>圧力式液位計</t>
        </is>
      </c>
      <c r="C206" s="640" t="n"/>
      <c r="D206" s="942" t="inlineStr">
        <is>
          <t>外観の確認</t>
        </is>
      </c>
      <c r="E206" s="974" t="n"/>
      <c r="F206" s="943" t="n"/>
      <c r="G206" s="804" t="n"/>
      <c r="H206" s="804" t="n"/>
      <c r="I206" s="804" t="n"/>
      <c r="J206" s="804" t="n"/>
      <c r="K206" s="804" t="n"/>
      <c r="M206" s="891" t="n"/>
      <c r="N206" s="891" t="n"/>
      <c r="O206" s="891" t="n"/>
      <c r="P206" s="892" t="n"/>
    </row>
    <row r="207" ht="15.75" customHeight="1" s="614">
      <c r="A207" s="780" t="n"/>
      <c r="B207" s="668" t="n"/>
      <c r="C207" s="647" t="n"/>
      <c r="D207" s="944" t="inlineStr">
        <is>
          <t>指示状況の確認</t>
        </is>
      </c>
      <c r="E207" s="975" t="n"/>
      <c r="F207" s="960" t="n"/>
      <c r="G207" s="936" t="n"/>
      <c r="H207" s="936" t="n"/>
      <c r="I207" s="936" t="n"/>
      <c r="J207" s="936" t="n"/>
      <c r="K207" s="936" t="n"/>
      <c r="M207" s="891" t="n"/>
      <c r="N207" s="891" t="n"/>
      <c r="O207" s="891" t="n"/>
      <c r="P207" s="892" t="n"/>
    </row>
    <row r="208" ht="15.75" customHeight="1" s="614">
      <c r="A208" s="769" t="n"/>
      <c r="B208" s="657" t="n"/>
      <c r="C208" s="654" t="n"/>
      <c r="D208" s="947" t="inlineStr">
        <is>
          <t>機器指示地の記録</t>
        </is>
      </c>
      <c r="E208" s="976" t="n"/>
      <c r="F208" s="948" t="inlineStr">
        <is>
          <t>ｍ</t>
        </is>
      </c>
      <c r="G208" s="940" t="n"/>
      <c r="H208" s="940" t="n"/>
      <c r="I208" s="940" t="n"/>
      <c r="J208" s="940" t="n"/>
      <c r="K208" s="940" t="n"/>
      <c r="M208" s="891" t="n"/>
      <c r="N208" s="891" t="n"/>
      <c r="O208" s="891" t="n"/>
      <c r="P208" s="892" t="n"/>
    </row>
    <row r="209" ht="15.75" customHeight="1" s="614">
      <c r="A209" s="1013" t="inlineStr">
        <is>
          <t>発電機設備</t>
        </is>
      </c>
      <c r="B209" s="832" t="inlineStr">
        <is>
          <t>発電機盤</t>
        </is>
      </c>
      <c r="C209" s="627" t="n"/>
      <c r="D209" s="773" t="inlineStr">
        <is>
          <t>外観の確認</t>
        </is>
      </c>
      <c r="E209" s="626" t="n"/>
      <c r="F209" s="805" t="n"/>
      <c r="G209" s="768" t="n"/>
      <c r="H209" s="768" t="n"/>
      <c r="I209" s="768" t="n"/>
      <c r="J209" s="768" t="n"/>
      <c r="K209" s="768" t="n"/>
      <c r="M209" s="891" t="n"/>
      <c r="N209" s="891" t="n"/>
      <c r="O209" s="891" t="n"/>
      <c r="P209" s="892" t="n"/>
    </row>
    <row r="210" ht="15.75" customHeight="1" s="614">
      <c r="A210" s="780" t="n"/>
      <c r="B210" s="832" t="inlineStr">
        <is>
          <t>燃料タンク</t>
        </is>
      </c>
      <c r="C210" s="640" t="n"/>
      <c r="D210" s="942" t="inlineStr">
        <is>
          <t>外観の確認</t>
        </is>
      </c>
      <c r="E210" s="688" t="n"/>
      <c r="F210" s="943" t="n"/>
      <c r="G210" s="804" t="n"/>
      <c r="H210" s="804" t="n"/>
      <c r="I210" s="804" t="n"/>
      <c r="J210" s="804" t="n"/>
      <c r="K210" s="804" t="n"/>
      <c r="M210" s="891" t="n"/>
      <c r="N210" s="891" t="n"/>
      <c r="O210" s="891" t="n"/>
      <c r="P210" s="892" t="n"/>
    </row>
    <row r="211" ht="15.75" customHeight="1" s="614">
      <c r="A211" s="780" t="n"/>
      <c r="B211" s="657" t="n"/>
      <c r="C211" s="654" t="n"/>
      <c r="D211" s="947" t="inlineStr">
        <is>
          <t>残量の値</t>
        </is>
      </c>
      <c r="E211" s="692" t="n"/>
      <c r="F211" s="978" t="inlineStr">
        <is>
          <t>ℓ</t>
        </is>
      </c>
      <c r="G211" s="979" t="n"/>
      <c r="H211" s="979" t="n"/>
      <c r="I211" s="979" t="n"/>
      <c r="J211" s="979" t="n"/>
      <c r="K211" s="979" t="n"/>
      <c r="M211" s="891" t="n"/>
      <c r="N211" s="891" t="n"/>
      <c r="O211" s="891" t="n"/>
      <c r="P211" s="892" t="n"/>
    </row>
    <row r="212" ht="15.75" customHeight="1" s="614">
      <c r="A212" s="931" t="inlineStr">
        <is>
          <t>他</t>
        </is>
      </c>
      <c r="B212" s="832" t="inlineStr">
        <is>
          <t>通報装置</t>
        </is>
      </c>
      <c r="C212" s="627" t="n"/>
      <c r="D212" s="773" t="inlineStr">
        <is>
          <t>通報状態の確認</t>
        </is>
      </c>
      <c r="E212" s="626" t="n"/>
      <c r="F212" s="805" t="n"/>
      <c r="G212" s="804" t="n"/>
      <c r="H212" s="804" t="n"/>
      <c r="I212" s="804" t="n"/>
      <c r="J212" s="804" t="n"/>
      <c r="K212" s="804" t="n"/>
      <c r="M212" s="891" t="n"/>
      <c r="N212" s="891" t="n"/>
      <c r="O212" s="891" t="n"/>
      <c r="P212" s="892" t="n"/>
    </row>
    <row r="213" ht="16.5" customHeight="1" s="614">
      <c r="A213" s="980" t="n"/>
      <c r="B213" s="849" t="inlineStr">
        <is>
          <t>○：良　　△：要注意　　×要修理</t>
        </is>
      </c>
      <c r="C213" s="849" t="n"/>
      <c r="D213" s="849" t="n"/>
      <c r="E213" s="849" t="n"/>
      <c r="F213" s="981" t="n"/>
      <c r="G213" s="981" t="n"/>
      <c r="H213" s="981" t="n"/>
      <c r="I213" s="981" t="n"/>
      <c r="J213" s="981" t="n"/>
      <c r="K213" s="981" t="n"/>
      <c r="M213" s="891" t="n"/>
      <c r="N213" s="891" t="n"/>
      <c r="O213" s="891" t="n"/>
      <c r="P213" s="892" t="n"/>
    </row>
    <row r="214" ht="21" customHeight="1" s="614">
      <c r="A214" s="764" t="inlineStr">
        <is>
          <t xml:space="preserve">　電気設備日常点検（１/２）</t>
        </is>
      </c>
      <c r="K214" s="839">
        <f>K143</f>
        <v/>
      </c>
      <c r="M214" s="891" t="n"/>
      <c r="N214" s="891" t="n"/>
      <c r="O214" s="891" t="n"/>
      <c r="P214" s="892" t="n"/>
    </row>
    <row r="215" ht="13.5" customHeight="1" s="614">
      <c r="G215" s="771" t="n"/>
      <c r="H215" s="771" t="n"/>
      <c r="I215" s="771" t="n"/>
      <c r="J215" s="771" t="n"/>
      <c r="K215" s="771" t="n"/>
      <c r="M215" s="891" t="n"/>
      <c r="N215" s="891" t="n"/>
      <c r="O215" s="891" t="n"/>
      <c r="P215" s="892" t="n"/>
    </row>
    <row r="216" ht="17.25" customHeight="1" s="614">
      <c r="A216" s="893" t="inlineStr">
        <is>
          <t>電　　　　　気　　　　　室</t>
        </is>
      </c>
      <c r="B216" s="893" t="inlineStr">
        <is>
          <t>引込・受電</t>
        </is>
      </c>
      <c r="C216" s="832" t="inlineStr">
        <is>
          <t>電圧</t>
        </is>
      </c>
      <c r="D216" s="639" t="n"/>
      <c r="E216" s="640" t="n"/>
      <c r="F216" s="894" t="inlineStr">
        <is>
          <t>KV</t>
        </is>
      </c>
      <c r="G216" s="895" t="n"/>
      <c r="H216" s="895" t="n"/>
      <c r="I216" s="804" t="n"/>
      <c r="J216" s="804" t="n"/>
      <c r="K216" s="804" t="n"/>
      <c r="M216" s="891" t="n"/>
      <c r="N216" s="891" t="n"/>
      <c r="O216" s="891" t="n"/>
      <c r="P216" s="892" t="n"/>
    </row>
    <row r="217" ht="17.25" customHeight="1" s="614">
      <c r="A217" s="780" t="n"/>
      <c r="B217" s="780" t="n"/>
      <c r="C217" s="657" t="n"/>
      <c r="D217" s="653" t="n"/>
      <c r="E217" s="654" t="n"/>
      <c r="F217" s="896" t="inlineStr">
        <is>
          <t>モード</t>
        </is>
      </c>
      <c r="G217" s="897" t="n"/>
      <c r="H217" s="897" t="n"/>
      <c r="I217" s="897" t="n"/>
      <c r="J217" s="897" t="n"/>
      <c r="K217" s="897" t="n"/>
      <c r="M217" s="891" t="n"/>
      <c r="N217" s="891" t="n"/>
      <c r="O217" s="891" t="n"/>
      <c r="P217" s="892" t="n"/>
    </row>
    <row r="218" ht="17.25" customHeight="1" s="614">
      <c r="A218" s="780" t="n"/>
      <c r="B218" s="780" t="n"/>
      <c r="C218" s="832" t="inlineStr">
        <is>
          <t>力率</t>
        </is>
      </c>
      <c r="D218" s="626" t="n"/>
      <c r="E218" s="627" t="n"/>
      <c r="F218" s="898" t="inlineStr">
        <is>
          <t>ψ</t>
        </is>
      </c>
      <c r="G218" s="895" t="n"/>
      <c r="H218" s="899" t="n"/>
      <c r="I218" s="900" t="n"/>
      <c r="J218" s="900" t="n"/>
      <c r="K218" s="900" t="n"/>
      <c r="M218" s="891" t="n"/>
      <c r="N218" s="891" t="n"/>
      <c r="O218" s="891" t="n"/>
      <c r="P218" s="892" t="n"/>
    </row>
    <row r="219" ht="17.25" customHeight="1" s="614">
      <c r="A219" s="780" t="n"/>
      <c r="B219" s="780" t="n"/>
      <c r="C219" s="832" t="inlineStr">
        <is>
          <t>電流</t>
        </is>
      </c>
      <c r="D219" s="639" t="n"/>
      <c r="E219" s="640" t="n"/>
      <c r="F219" s="894" t="inlineStr">
        <is>
          <t>A</t>
        </is>
      </c>
      <c r="G219" s="895" t="n"/>
      <c r="H219" s="901" t="n"/>
      <c r="I219" s="902" t="n"/>
      <c r="J219" s="902" t="n"/>
      <c r="K219" s="902" t="n"/>
      <c r="M219" s="891" t="n"/>
      <c r="N219" s="891" t="n"/>
      <c r="O219" s="891" t="n"/>
      <c r="P219" s="892" t="n"/>
    </row>
    <row r="220" ht="17.25" customHeight="1" s="614">
      <c r="A220" s="780" t="n"/>
      <c r="B220" s="780" t="n"/>
      <c r="C220" s="657" t="n"/>
      <c r="D220" s="653" t="n"/>
      <c r="E220" s="654" t="n"/>
      <c r="F220" s="896" t="inlineStr">
        <is>
          <t>モード</t>
        </is>
      </c>
      <c r="G220" s="897" t="n"/>
      <c r="H220" s="897" t="n"/>
      <c r="I220" s="897" t="n"/>
      <c r="J220" s="897" t="n"/>
      <c r="K220" s="897" t="n"/>
      <c r="M220" s="891" t="n"/>
      <c r="N220" s="891" t="n"/>
      <c r="O220" s="891" t="n"/>
      <c r="P220" s="892" t="n"/>
    </row>
    <row r="221" ht="17.25" customHeight="1" s="614">
      <c r="A221" s="780" t="n"/>
      <c r="B221" s="780" t="n"/>
      <c r="C221" s="832" t="inlineStr">
        <is>
          <t>普通電力量（×１０ｋw）</t>
        </is>
      </c>
      <c r="D221" s="639" t="n"/>
      <c r="E221" s="640" t="n"/>
      <c r="F221" s="903" t="inlineStr">
        <is>
          <t>読み</t>
        </is>
      </c>
      <c r="G221" s="895" t="n"/>
      <c r="H221" s="901" t="n"/>
      <c r="I221" s="902" t="n"/>
      <c r="J221" s="902" t="n"/>
      <c r="K221" s="902" t="n"/>
      <c r="M221" s="891" t="n"/>
      <c r="N221" s="904" t="n"/>
      <c r="O221" s="891" t="n"/>
      <c r="P221" s="892" t="n"/>
    </row>
    <row r="222" ht="17.25" customHeight="1" s="614">
      <c r="A222" s="780" t="n"/>
      <c r="B222" s="780" t="n"/>
      <c r="C222" s="657" t="n"/>
      <c r="D222" s="653" t="n"/>
      <c r="E222" s="654" t="n"/>
      <c r="F222" s="896" t="inlineStr">
        <is>
          <t>使用量</t>
        </is>
      </c>
      <c r="G222" s="901" t="n"/>
      <c r="H222" s="906" t="n"/>
      <c r="I222" s="906" t="n"/>
      <c r="J222" s="906" t="n"/>
      <c r="K222" s="906" t="n"/>
      <c r="M222" s="891" t="n"/>
      <c r="N222" s="891" t="n"/>
      <c r="O222" s="891" t="n"/>
      <c r="P222" s="892" t="n"/>
    </row>
    <row r="223" ht="17.25" customHeight="1" s="614">
      <c r="A223" s="780" t="n"/>
      <c r="B223" s="780" t="n"/>
      <c r="C223" s="832" t="inlineStr">
        <is>
          <t>引込・受電設定</t>
        </is>
      </c>
      <c r="D223" s="639" t="n"/>
      <c r="E223" s="640" t="n"/>
      <c r="F223" s="903" t="inlineStr">
        <is>
          <t>手動/自動</t>
        </is>
      </c>
      <c r="G223" s="895" t="n"/>
      <c r="H223" s="907" t="n"/>
      <c r="I223" s="908" t="n"/>
      <c r="J223" s="908" t="n"/>
      <c r="K223" s="908" t="n"/>
      <c r="M223" s="904" t="n"/>
      <c r="N223" s="904" t="n"/>
      <c r="O223" s="891" t="n"/>
      <c r="P223" s="892" t="n"/>
    </row>
    <row r="224" ht="17.25" customHeight="1" s="614">
      <c r="A224" s="780" t="n"/>
      <c r="B224" s="769" t="n"/>
      <c r="C224" s="657" t="n"/>
      <c r="D224" s="653" t="n"/>
      <c r="E224" s="654" t="n"/>
      <c r="F224" s="896" t="inlineStr">
        <is>
          <t>切/入</t>
        </is>
      </c>
      <c r="G224" s="895" t="n"/>
      <c r="H224" s="909" t="n"/>
      <c r="I224" s="910" t="n"/>
      <c r="J224" s="910" t="n"/>
      <c r="K224" s="910" t="n"/>
      <c r="M224" s="904" t="n"/>
      <c r="N224" s="904" t="n"/>
      <c r="O224" s="891" t="n"/>
      <c r="P224" s="892" t="n"/>
    </row>
    <row r="225" ht="17.25" customHeight="1" s="614">
      <c r="A225" s="780" t="n"/>
      <c r="B225" s="911" t="inlineStr">
        <is>
          <t>変圧器</t>
        </is>
      </c>
      <c r="C225" s="912" t="inlineStr">
        <is>
          <t>主変圧器温度</t>
        </is>
      </c>
      <c r="D225" s="639" t="n"/>
      <c r="E225" s="640" t="n"/>
      <c r="F225" s="894" t="inlineStr">
        <is>
          <t>℃</t>
        </is>
      </c>
      <c r="G225" s="895" t="n"/>
      <c r="H225" s="901" t="n"/>
      <c r="I225" s="902" t="n"/>
      <c r="J225" s="902" t="n"/>
      <c r="K225" s="902" t="n"/>
      <c r="M225" s="891" t="n"/>
      <c r="N225" s="891" t="n"/>
      <c r="O225" s="891" t="n"/>
      <c r="P225" s="892" t="n"/>
    </row>
    <row r="226" ht="17.25" customHeight="1" s="614">
      <c r="A226" s="780" t="n"/>
      <c r="B226" s="769" t="n"/>
      <c r="C226" s="835" t="inlineStr">
        <is>
          <t>異音、脱臭の有無</t>
        </is>
      </c>
      <c r="D226" s="653" t="n"/>
      <c r="E226" s="654" t="n"/>
      <c r="F226" s="896" t="inlineStr">
        <is>
          <t>有・無</t>
        </is>
      </c>
      <c r="G226" s="895" t="n"/>
      <c r="H226" s="909" t="n"/>
      <c r="I226" s="910" t="n"/>
      <c r="J226" s="910" t="n"/>
      <c r="K226" s="910" t="n"/>
      <c r="M226" s="904" t="n"/>
      <c r="N226" s="904" t="n"/>
      <c r="O226" s="891" t="n"/>
      <c r="P226" s="892" t="n"/>
    </row>
    <row r="227" ht="17.25" customHeight="1" s="614">
      <c r="A227" s="780" t="n"/>
      <c r="B227" s="914" t="inlineStr">
        <is>
          <t>低　　圧　　分　　岐</t>
        </is>
      </c>
      <c r="C227" s="832" t="inlineStr">
        <is>
          <t>動力（２１０V）　電圧</t>
        </is>
      </c>
      <c r="D227" s="639" t="n"/>
      <c r="E227" s="640" t="n"/>
      <c r="F227" s="894" t="inlineStr">
        <is>
          <t>V</t>
        </is>
      </c>
      <c r="G227" s="895" t="n"/>
      <c r="H227" s="895" t="n"/>
      <c r="I227" s="804" t="n"/>
      <c r="J227" s="804" t="n"/>
      <c r="K227" s="804" t="n"/>
      <c r="M227" s="891" t="n"/>
      <c r="N227" s="891" t="n"/>
      <c r="O227" s="891" t="n"/>
      <c r="P227" s="892" t="n"/>
    </row>
    <row r="228" ht="17.25" customHeight="1" s="614">
      <c r="A228" s="780" t="n"/>
      <c r="B228" s="780" t="n"/>
      <c r="C228" s="657" t="n"/>
      <c r="D228" s="653" t="n"/>
      <c r="E228" s="654" t="n"/>
      <c r="F228" s="896" t="inlineStr">
        <is>
          <t>モード</t>
        </is>
      </c>
      <c r="G228" s="897" t="n"/>
      <c r="H228" s="897" t="n"/>
      <c r="I228" s="897" t="n"/>
      <c r="J228" s="897" t="n"/>
      <c r="K228" s="897" t="n"/>
      <c r="M228" s="891" t="n"/>
      <c r="N228" s="891" t="n"/>
      <c r="O228" s="891" t="n"/>
      <c r="P228" s="892" t="n"/>
    </row>
    <row r="229" ht="17.25" customHeight="1" s="614">
      <c r="A229" s="780" t="n"/>
      <c r="B229" s="780" t="n"/>
      <c r="C229" s="832" t="inlineStr">
        <is>
          <t>動力（２１０V）　電流</t>
        </is>
      </c>
      <c r="D229" s="639" t="n"/>
      <c r="E229" s="640" t="n"/>
      <c r="F229" s="916" t="inlineStr">
        <is>
          <t>A</t>
        </is>
      </c>
      <c r="G229" s="895" t="n"/>
      <c r="H229" s="917" t="n"/>
      <c r="I229" s="918" t="n"/>
      <c r="J229" s="918" t="n"/>
      <c r="K229" s="918" t="n"/>
      <c r="M229" s="891" t="n"/>
      <c r="N229" s="891" t="n"/>
      <c r="O229" s="891" t="n"/>
      <c r="P229" s="892" t="n"/>
    </row>
    <row r="230" ht="17.25" customHeight="1" s="614">
      <c r="A230" s="780" t="n"/>
      <c r="B230" s="780" t="n"/>
      <c r="C230" s="657" t="n"/>
      <c r="D230" s="653" t="n"/>
      <c r="E230" s="654" t="n"/>
      <c r="F230" s="919" t="inlineStr">
        <is>
          <t>モード</t>
        </is>
      </c>
      <c r="G230" s="1014" t="n"/>
      <c r="H230" s="1014" t="n"/>
      <c r="I230" s="1014" t="n"/>
      <c r="J230" s="1014" t="n"/>
      <c r="K230" s="1014" t="n"/>
      <c r="M230" s="891" t="n"/>
      <c r="N230" s="891" t="n"/>
      <c r="O230" s="891" t="n"/>
      <c r="P230" s="892" t="n"/>
    </row>
    <row r="231" ht="17.25" customHeight="1" s="614">
      <c r="A231" s="780" t="n"/>
      <c r="B231" s="780" t="n"/>
      <c r="C231" s="832" t="inlineStr">
        <is>
          <t>照明(210-105V)   電流</t>
        </is>
      </c>
      <c r="D231" s="639" t="n"/>
      <c r="E231" s="640" t="n"/>
      <c r="F231" s="916" t="inlineStr">
        <is>
          <t>A</t>
        </is>
      </c>
      <c r="G231" s="895" t="n"/>
      <c r="H231" s="917" t="n"/>
      <c r="I231" s="918" t="n"/>
      <c r="J231" s="918" t="n"/>
      <c r="K231" s="918" t="n"/>
      <c r="M231" s="891" t="n"/>
      <c r="N231" s="891" t="n"/>
      <c r="O231" s="891" t="n"/>
      <c r="P231" s="892" t="n"/>
    </row>
    <row r="232" ht="17.25" customHeight="1" s="614">
      <c r="A232" s="780" t="n"/>
      <c r="B232" s="780" t="n"/>
      <c r="C232" s="657" t="n"/>
      <c r="D232" s="653" t="n"/>
      <c r="E232" s="654" t="n"/>
      <c r="F232" s="919" t="inlineStr">
        <is>
          <t>モード</t>
        </is>
      </c>
      <c r="G232" s="1014" t="n"/>
      <c r="H232" s="1014" t="n"/>
      <c r="I232" s="1014" t="n"/>
      <c r="J232" s="1014" t="n"/>
      <c r="K232" s="1014" t="n"/>
      <c r="M232" s="904" t="n"/>
      <c r="N232" s="904" t="n"/>
      <c r="O232" s="904" t="n"/>
      <c r="P232" s="892" t="n"/>
    </row>
    <row r="233" ht="17.25" customHeight="1" s="614">
      <c r="A233" s="780" t="n"/>
      <c r="B233" s="780" t="n"/>
      <c r="C233" s="832" t="inlineStr">
        <is>
          <t>低圧分岐設備</t>
        </is>
      </c>
      <c r="D233" s="626" t="n"/>
      <c r="E233" s="627" t="n"/>
      <c r="F233" s="922" t="inlineStr">
        <is>
          <t>買電/自家発</t>
        </is>
      </c>
      <c r="G233" s="895" t="n"/>
      <c r="H233" s="874" t="n"/>
      <c r="I233" s="767" t="n"/>
      <c r="J233" s="767" t="n"/>
      <c r="K233" s="767" t="n"/>
      <c r="M233" s="904" t="n"/>
      <c r="N233" s="904" t="n"/>
      <c r="O233" s="891" t="n"/>
      <c r="P233" s="892" t="n"/>
    </row>
    <row r="234" ht="17.25" customHeight="1" s="614">
      <c r="A234" s="780" t="n"/>
      <c r="B234" s="780" t="n"/>
      <c r="C234" s="912" t="inlineStr">
        <is>
          <t>動力制御盤1</t>
        </is>
      </c>
      <c r="D234" s="639" t="n"/>
      <c r="E234" s="640" t="n"/>
      <c r="F234" s="923" t="inlineStr">
        <is>
          <t>読み</t>
        </is>
      </c>
      <c r="G234" s="895" t="n"/>
      <c r="H234" s="924" t="n"/>
      <c r="I234" s="925" t="n"/>
      <c r="J234" s="925" t="n"/>
      <c r="K234" s="925" t="n"/>
      <c r="M234" s="891" t="n"/>
      <c r="N234" s="891" t="n"/>
      <c r="O234" s="891" t="n"/>
      <c r="P234" s="892" t="n"/>
    </row>
    <row r="235" ht="17.25" customHeight="1" s="614">
      <c r="A235" s="780" t="n"/>
      <c r="B235" s="780" t="n"/>
      <c r="C235" s="835" t="inlineStr">
        <is>
          <t>（×１ｋｗｈ）</t>
        </is>
      </c>
      <c r="D235" s="653" t="n"/>
      <c r="E235" s="654" t="n"/>
      <c r="F235" s="896" t="inlineStr">
        <is>
          <t>使用量</t>
        </is>
      </c>
      <c r="G235" s="901" t="n"/>
      <c r="H235" s="906" t="n"/>
      <c r="I235" s="906" t="n"/>
      <c r="J235" s="906" t="n"/>
      <c r="K235" s="926" t="n"/>
      <c r="M235" s="891" t="n"/>
      <c r="N235" s="891" t="n"/>
      <c r="O235" s="891" t="n"/>
      <c r="P235" s="892" t="n"/>
    </row>
    <row r="236" ht="17.25" customHeight="1" s="614">
      <c r="A236" s="780" t="n"/>
      <c r="B236" s="780" t="n"/>
      <c r="C236" s="912" t="inlineStr">
        <is>
          <t>動力制御盤2</t>
        </is>
      </c>
      <c r="D236" s="639" t="n"/>
      <c r="E236" s="640" t="n"/>
      <c r="F236" s="923" t="inlineStr">
        <is>
          <t>読み</t>
        </is>
      </c>
      <c r="G236" s="895" t="n"/>
      <c r="H236" s="924" t="n"/>
      <c r="I236" s="925" t="n"/>
      <c r="J236" s="925" t="n"/>
      <c r="K236" s="925" t="n"/>
      <c r="M236" s="891" t="n"/>
      <c r="N236" s="891" t="n"/>
      <c r="O236" s="891" t="n"/>
      <c r="P236" s="892" t="n"/>
    </row>
    <row r="237" ht="17.25" customHeight="1" s="614">
      <c r="A237" s="780" t="n"/>
      <c r="B237" s="780" t="n"/>
      <c r="C237" s="835" t="inlineStr">
        <is>
          <t>（×１ｋｗｈ）</t>
        </is>
      </c>
      <c r="D237" s="653" t="n"/>
      <c r="E237" s="654" t="n"/>
      <c r="F237" s="896" t="inlineStr">
        <is>
          <t>使用量</t>
        </is>
      </c>
      <c r="G237" s="901" t="n"/>
      <c r="H237" s="906" t="n"/>
      <c r="I237" s="906" t="n"/>
      <c r="J237" s="906" t="n"/>
      <c r="K237" s="926" t="n"/>
      <c r="M237" s="891" t="n"/>
      <c r="N237" s="891" t="n"/>
      <c r="O237" s="891" t="n"/>
      <c r="P237" s="892" t="n"/>
    </row>
    <row r="238" ht="17.25" customHeight="1" s="614">
      <c r="A238" s="780" t="n"/>
      <c r="B238" s="780" t="n"/>
      <c r="C238" s="912" t="inlineStr">
        <is>
          <t>動力制御盤3</t>
        </is>
      </c>
      <c r="D238" s="639" t="n"/>
      <c r="E238" s="640" t="n"/>
      <c r="F238" s="923" t="inlineStr">
        <is>
          <t>読み</t>
        </is>
      </c>
      <c r="G238" s="895" t="n"/>
      <c r="H238" s="917" t="n"/>
      <c r="I238" s="918" t="n"/>
      <c r="J238" s="918" t="n"/>
      <c r="K238" s="918" t="n"/>
      <c r="M238" s="891" t="n"/>
      <c r="N238" s="891" t="n"/>
      <c r="O238" s="891" t="n"/>
      <c r="P238" s="892" t="n"/>
    </row>
    <row r="239" ht="17.25" customHeight="1" s="614">
      <c r="A239" s="780" t="n"/>
      <c r="B239" s="780" t="n"/>
      <c r="C239" s="835" t="inlineStr">
        <is>
          <t>（×１ｋｗｈ）</t>
        </is>
      </c>
      <c r="D239" s="653" t="n"/>
      <c r="E239" s="654" t="n"/>
      <c r="F239" s="896" t="inlineStr">
        <is>
          <t>使用量</t>
        </is>
      </c>
      <c r="G239" s="901" t="n"/>
      <c r="H239" s="906" t="n"/>
      <c r="I239" s="906" t="n"/>
      <c r="J239" s="906" t="n"/>
      <c r="K239" s="926" t="n"/>
      <c r="M239" s="891" t="n"/>
      <c r="N239" s="891" t="n"/>
      <c r="O239" s="891" t="n"/>
      <c r="P239" s="892" t="n"/>
    </row>
    <row r="240" ht="17.25" customHeight="1" s="614">
      <c r="A240" s="780" t="n"/>
      <c r="B240" s="780" t="n"/>
      <c r="C240" s="912" t="inlineStr">
        <is>
          <t>動力制御盤4</t>
        </is>
      </c>
      <c r="D240" s="639" t="n"/>
      <c r="E240" s="640" t="n"/>
      <c r="F240" s="923" t="inlineStr">
        <is>
          <t>読み</t>
        </is>
      </c>
      <c r="G240" s="895" t="n"/>
      <c r="H240" s="927" t="n"/>
      <c r="I240" s="928" t="n"/>
      <c r="J240" s="928" t="n"/>
      <c r="K240" s="928" t="n"/>
      <c r="M240" s="891" t="n"/>
      <c r="N240" s="891" t="n"/>
      <c r="O240" s="891" t="n"/>
      <c r="P240" s="892" t="n"/>
    </row>
    <row r="241" ht="17.25" customHeight="1" s="614">
      <c r="A241" s="780" t="n"/>
      <c r="B241" s="780" t="n"/>
      <c r="C241" s="835" t="inlineStr">
        <is>
          <t>（×１ｋｗｈ）</t>
        </is>
      </c>
      <c r="D241" s="653" t="n"/>
      <c r="E241" s="654" t="n"/>
      <c r="F241" s="896" t="inlineStr">
        <is>
          <t>使用量</t>
        </is>
      </c>
      <c r="G241" s="895" t="n"/>
      <c r="H241" s="897" t="n"/>
      <c r="I241" s="929" t="n"/>
      <c r="J241" s="929" t="n"/>
      <c r="K241" s="929" t="n"/>
      <c r="M241" s="891" t="n"/>
      <c r="N241" s="891" t="n"/>
      <c r="O241" s="891" t="n"/>
      <c r="P241" s="892" t="n"/>
    </row>
    <row r="242" ht="17.25" customHeight="1" s="614">
      <c r="A242" s="780" t="n"/>
      <c r="B242" s="780" t="n"/>
      <c r="C242" s="930" t="inlineStr">
        <is>
          <t>No.１　コンデンサー(電磁接触器)</t>
        </is>
      </c>
      <c r="D242" s="626" t="n"/>
      <c r="E242" s="627" t="n"/>
      <c r="F242" s="767" t="inlineStr">
        <is>
          <t>切/入</t>
        </is>
      </c>
      <c r="G242" s="895" t="n"/>
      <c r="H242" s="874" t="n"/>
      <c r="I242" s="874" t="n"/>
      <c r="J242" s="874" t="n"/>
      <c r="K242" s="874" t="n"/>
      <c r="M242" s="904" t="n"/>
      <c r="N242" s="904" t="n"/>
      <c r="O242" s="891" t="n"/>
      <c r="P242" s="892" t="n"/>
    </row>
    <row r="243" ht="17.25" customHeight="1" s="614">
      <c r="A243" s="780" t="n"/>
      <c r="B243" s="780" t="n"/>
      <c r="C243" s="930" t="inlineStr">
        <is>
          <t>No.２　コンデンサー(電磁接触器)</t>
        </is>
      </c>
      <c r="D243" s="626" t="n"/>
      <c r="E243" s="627" t="n"/>
      <c r="F243" s="767" t="inlineStr">
        <is>
          <t>切/入</t>
        </is>
      </c>
      <c r="G243" s="895" t="n"/>
      <c r="H243" s="874" t="n"/>
      <c r="I243" s="874" t="n"/>
      <c r="J243" s="874" t="n"/>
      <c r="K243" s="874" t="n"/>
      <c r="M243" s="891" t="n"/>
      <c r="N243" s="891" t="n"/>
      <c r="O243" s="891" t="n"/>
      <c r="P243" s="892" t="n"/>
    </row>
    <row r="244" ht="17.25" customHeight="1" s="614">
      <c r="A244" s="769" t="n"/>
      <c r="B244" s="769" t="n"/>
      <c r="C244" s="930" t="inlineStr">
        <is>
          <t>No.３　コンデンサー(電磁接触器)</t>
        </is>
      </c>
      <c r="D244" s="626" t="n"/>
      <c r="E244" s="627" t="n"/>
      <c r="F244" s="767" t="inlineStr">
        <is>
          <t>切/入</t>
        </is>
      </c>
      <c r="G244" s="895" t="n"/>
      <c r="H244" s="874" t="n"/>
      <c r="I244" s="874" t="n"/>
      <c r="J244" s="874" t="n"/>
      <c r="K244" s="874" t="n"/>
      <c r="M244" s="891" t="n"/>
      <c r="N244" s="891" t="n"/>
      <c r="O244" s="891" t="n"/>
      <c r="P244" s="892" t="n"/>
    </row>
    <row r="245" ht="13.5" customHeight="1" s="614">
      <c r="A245" s="931" t="inlineStr">
        <is>
          <t>備　考</t>
        </is>
      </c>
      <c r="B245" s="930" t="n"/>
      <c r="C245" s="639" t="n"/>
      <c r="D245" s="639" t="n"/>
      <c r="E245" s="639" t="n"/>
      <c r="F245" s="639" t="n"/>
      <c r="G245" s="639" t="n"/>
      <c r="H245" s="639" t="n"/>
      <c r="I245" s="639" t="n"/>
      <c r="J245" s="639" t="n"/>
      <c r="K245" s="640" t="n"/>
      <c r="M245" s="891" t="n"/>
      <c r="N245" s="891" t="n"/>
      <c r="O245" s="891" t="n"/>
      <c r="P245" s="892" t="n"/>
    </row>
    <row r="246" ht="13.5" customHeight="1" s="614">
      <c r="A246" s="780" t="n"/>
      <c r="B246" s="668" t="n"/>
      <c r="K246" s="647" t="n"/>
      <c r="M246" s="891" t="n"/>
      <c r="N246" s="891" t="n"/>
      <c r="O246" s="891" t="n"/>
      <c r="P246" s="892" t="n"/>
    </row>
    <row r="247" ht="13.5" customHeight="1" s="614">
      <c r="A247" s="769" t="n"/>
      <c r="B247" s="657" t="n"/>
      <c r="C247" s="653" t="n"/>
      <c r="D247" s="653" t="n"/>
      <c r="E247" s="653" t="n"/>
      <c r="F247" s="653" t="n"/>
      <c r="G247" s="653" t="n"/>
      <c r="H247" s="653" t="n"/>
      <c r="I247" s="653" t="n"/>
      <c r="J247" s="653" t="n"/>
      <c r="K247" s="654" t="n"/>
      <c r="M247" s="891" t="n"/>
      <c r="N247" s="891" t="n"/>
      <c r="O247" s="891" t="n"/>
      <c r="P247" s="892" t="n"/>
    </row>
    <row r="248" ht="21" customHeight="1" s="614">
      <c r="A248" s="764" t="inlineStr">
        <is>
          <t xml:space="preserve">　電気設備日常点検（２/２）</t>
        </is>
      </c>
      <c r="M248" s="891" t="n"/>
      <c r="N248" s="891" t="n"/>
      <c r="O248" s="891" t="n"/>
      <c r="P248" s="892" t="n"/>
    </row>
    <row r="249" ht="16.5" customHeight="1" s="614">
      <c r="A249" s="932" t="n"/>
      <c r="B249" s="767" t="inlineStr">
        <is>
          <t>機器名</t>
        </is>
      </c>
      <c r="C249" s="640" t="n"/>
      <c r="D249" s="767" t="inlineStr">
        <is>
          <t>点　　検　　者　　氏　　名</t>
        </is>
      </c>
      <c r="E249" s="626" t="n"/>
      <c r="F249" s="627" t="n"/>
      <c r="G249" s="874" t="n"/>
      <c r="H249" s="874" t="n"/>
      <c r="I249" s="767" t="n"/>
      <c r="J249" s="767" t="n"/>
      <c r="K249" s="767" t="n"/>
      <c r="M249" s="891" t="n"/>
      <c r="N249" s="891" t="n"/>
      <c r="O249" s="891" t="n"/>
      <c r="P249" s="892" t="n"/>
    </row>
    <row r="250" ht="16.5" customHeight="1" s="614">
      <c r="A250" s="769" t="n"/>
      <c r="B250" s="657" t="n"/>
      <c r="C250" s="654" t="n"/>
      <c r="D250" s="767" t="inlineStr">
        <is>
          <t>点　　　検　　　内　　　容</t>
        </is>
      </c>
      <c r="E250" s="626" t="n"/>
      <c r="F250" s="627" t="n"/>
      <c r="G250" s="771" t="n"/>
      <c r="H250" s="771" t="n"/>
      <c r="I250" s="771" t="n"/>
      <c r="J250" s="771" t="n"/>
      <c r="K250" s="771" t="n"/>
      <c r="M250" s="891" t="n"/>
      <c r="N250" s="891" t="n"/>
      <c r="O250" s="891" t="n"/>
      <c r="P250" s="892" t="n"/>
    </row>
    <row r="251" ht="15.75" customHeight="1" s="614">
      <c r="A251" s="893" t="inlineStr">
        <is>
          <t>計　　　　　装　　　　　設　　　　　備</t>
        </is>
      </c>
      <c r="B251" s="878" t="inlineStr">
        <is>
          <t>ポンプ井
水位計</t>
        </is>
      </c>
      <c r="C251" s="640" t="n"/>
      <c r="D251" s="849" t="inlineStr">
        <is>
          <t>外観の確認</t>
        </is>
      </c>
      <c r="E251" s="639" t="n"/>
      <c r="G251" s="895" t="n"/>
      <c r="H251" s="895" t="n"/>
      <c r="I251" s="804" t="n"/>
      <c r="J251" s="804" t="n"/>
      <c r="K251" s="804" t="n"/>
      <c r="M251" s="891" t="n"/>
      <c r="N251" s="891" t="n"/>
      <c r="O251" s="891" t="n"/>
      <c r="P251" s="892" t="n"/>
    </row>
    <row r="252" ht="15.75" customHeight="1" s="614">
      <c r="A252" s="780" t="n"/>
      <c r="B252" s="668" t="n"/>
      <c r="C252" s="647" t="n"/>
      <c r="D252" s="1007" t="inlineStr">
        <is>
          <t>指示状況の確認</t>
        </is>
      </c>
      <c r="E252" s="672" t="n"/>
      <c r="F252" s="935" t="n"/>
      <c r="G252" s="985" t="n"/>
      <c r="H252" s="985" t="n"/>
      <c r="I252" s="936" t="n"/>
      <c r="J252" s="936" t="n"/>
      <c r="K252" s="936" t="n"/>
      <c r="M252" s="891" t="n"/>
      <c r="N252" s="891" t="n"/>
      <c r="O252" s="891" t="n"/>
      <c r="P252" s="892" t="n"/>
    </row>
    <row r="253" ht="15.75" customHeight="1" s="614">
      <c r="A253" s="780" t="n"/>
      <c r="B253" s="657" t="n"/>
      <c r="C253" s="654" t="n"/>
      <c r="D253" s="820" t="inlineStr">
        <is>
          <t>計器読み</t>
        </is>
      </c>
      <c r="F253" s="939" t="inlineStr">
        <is>
          <t>ｍ</t>
        </is>
      </c>
      <c r="G253" s="986" t="n"/>
      <c r="H253" s="986" t="n"/>
      <c r="I253" s="940" t="n"/>
      <c r="J253" s="940" t="n"/>
      <c r="K253" s="940" t="n"/>
      <c r="M253" s="891" t="n"/>
      <c r="N253" s="891" t="n"/>
      <c r="O253" s="891" t="n"/>
      <c r="P253" s="892" t="n"/>
    </row>
    <row r="254" ht="15.75" customHeight="1" s="614">
      <c r="A254" s="780" t="n"/>
      <c r="B254" s="941" t="inlineStr">
        <is>
          <t>Nｏ．１オキシデーションディッチＤＯ計</t>
        </is>
      </c>
      <c r="C254" s="640" t="n"/>
      <c r="D254" s="942" t="inlineStr">
        <is>
          <t>外観の確認</t>
        </is>
      </c>
      <c r="E254" s="688" t="n"/>
      <c r="F254" s="943" t="n"/>
      <c r="G254" s="895" t="n"/>
      <c r="H254" s="895" t="n"/>
      <c r="I254" s="804" t="n"/>
      <c r="J254" s="804" t="n"/>
      <c r="K254" s="804" t="n"/>
      <c r="M254" s="891" t="n"/>
      <c r="N254" s="891" t="n"/>
      <c r="O254" s="891" t="n"/>
      <c r="P254" s="892" t="n"/>
    </row>
    <row r="255" ht="15.75" customHeight="1" s="614">
      <c r="A255" s="780" t="n"/>
      <c r="B255" s="668" t="n"/>
      <c r="C255" s="647" t="n"/>
      <c r="D255" s="1008" t="inlineStr">
        <is>
          <t>指示状況の確認</t>
        </is>
      </c>
      <c r="E255" s="1009" t="n"/>
      <c r="F255" s="946" t="n"/>
      <c r="G255" s="985" t="n"/>
      <c r="H255" s="985" t="n"/>
      <c r="I255" s="936" t="n"/>
      <c r="J255" s="936" t="n"/>
      <c r="K255" s="936" t="n"/>
      <c r="M255" s="891" t="n"/>
      <c r="N255" s="891" t="n"/>
      <c r="O255" s="891" t="n"/>
      <c r="P255" s="892" t="n"/>
    </row>
    <row r="256" ht="15.75" customHeight="1" s="614">
      <c r="A256" s="780" t="n"/>
      <c r="B256" s="657" t="n"/>
      <c r="C256" s="654" t="n"/>
      <c r="D256" s="947" t="inlineStr">
        <is>
          <t>ＤＯ値</t>
        </is>
      </c>
      <c r="E256" s="692" t="n"/>
      <c r="F256" s="948" t="inlineStr">
        <is>
          <t>㎎/ℓ</t>
        </is>
      </c>
      <c r="G256" s="987" t="n"/>
      <c r="H256" s="987" t="n"/>
      <c r="I256" s="949" t="n"/>
      <c r="J256" s="949" t="n"/>
      <c r="K256" s="949" t="n"/>
      <c r="M256" s="891" t="n"/>
      <c r="N256" s="891" t="n"/>
      <c r="O256" s="891" t="n"/>
      <c r="P256" s="892" t="n"/>
    </row>
    <row r="257" ht="15.75" customHeight="1" s="614">
      <c r="A257" s="780" t="n"/>
      <c r="B257" s="772" t="inlineStr">
        <is>
          <t>返送汚泥流量計</t>
        </is>
      </c>
      <c r="C257" s="640" t="n"/>
      <c r="D257" s="942" t="inlineStr">
        <is>
          <t>外観の確認</t>
        </is>
      </c>
      <c r="E257" s="688" t="n"/>
      <c r="F257" s="950" t="n"/>
      <c r="G257" s="895" t="n"/>
      <c r="H257" s="895" t="n"/>
      <c r="I257" s="804" t="n"/>
      <c r="J257" s="804" t="n"/>
      <c r="K257" s="804" t="n"/>
      <c r="M257" s="891" t="n"/>
      <c r="N257" s="891" t="n"/>
      <c r="O257" s="891" t="n"/>
      <c r="P257" s="892" t="n"/>
    </row>
    <row r="258" ht="15.75" customHeight="1" s="614">
      <c r="A258" s="780" t="n"/>
      <c r="B258" s="668" t="n"/>
      <c r="C258" s="647" t="n"/>
      <c r="D258" s="944" t="inlineStr">
        <is>
          <t>指示状況の確認</t>
        </is>
      </c>
      <c r="E258" s="945" t="n"/>
      <c r="F258" s="952" t="n"/>
      <c r="G258" s="985" t="n"/>
      <c r="H258" s="985" t="n"/>
      <c r="I258" s="936" t="n"/>
      <c r="J258" s="936" t="n"/>
      <c r="K258" s="936" t="n"/>
      <c r="M258" s="891" t="n"/>
      <c r="N258" s="891" t="n"/>
      <c r="O258" s="891" t="n"/>
      <c r="P258" s="892" t="n"/>
    </row>
    <row r="259" ht="15.75" customHeight="1" s="614">
      <c r="A259" s="780" t="n"/>
      <c r="B259" s="668" t="n"/>
      <c r="C259" s="647" t="n"/>
      <c r="D259" s="944" t="inlineStr">
        <is>
          <t>流量計の読み</t>
        </is>
      </c>
      <c r="E259" s="945" t="n"/>
      <c r="F259" s="952" t="inlineStr">
        <is>
          <t>㎥/ｈ</t>
        </is>
      </c>
      <c r="G259" s="953" t="n"/>
      <c r="H259" s="953" t="n"/>
      <c r="I259" s="988" t="n"/>
      <c r="J259" s="988" t="n"/>
      <c r="K259" s="988" t="n"/>
      <c r="M259" s="891" t="n"/>
      <c r="N259" s="891" t="n"/>
      <c r="O259" s="891" t="n"/>
      <c r="P259" s="892" t="n"/>
    </row>
    <row r="260" ht="15.75" customHeight="1" s="614">
      <c r="A260" s="780" t="n"/>
      <c r="B260" s="657" t="n"/>
      <c r="C260" s="654" t="n"/>
      <c r="D260" s="947" t="inlineStr">
        <is>
          <t>流量計積算計読み</t>
        </is>
      </c>
      <c r="E260" s="692" t="n"/>
      <c r="F260" s="954" t="inlineStr">
        <is>
          <t>㎥</t>
        </is>
      </c>
      <c r="G260" s="966" t="n"/>
      <c r="H260" s="966" t="n"/>
      <c r="I260" s="966" t="n"/>
      <c r="J260" s="966" t="n"/>
      <c r="K260" s="966" t="n"/>
      <c r="M260" s="891" t="n"/>
      <c r="N260" s="891" t="n"/>
      <c r="O260" s="891" t="n"/>
      <c r="P260" s="892" t="n"/>
    </row>
    <row r="261" ht="15.75" customHeight="1" s="614">
      <c r="A261" s="780" t="n"/>
      <c r="B261" s="772" t="inlineStr">
        <is>
          <t>余剰汚泥流量計</t>
        </is>
      </c>
      <c r="C261" s="640" t="n"/>
      <c r="D261" s="942" t="inlineStr">
        <is>
          <t>外観の確認</t>
        </is>
      </c>
      <c r="E261" s="688" t="n"/>
      <c r="F261" s="956" t="n"/>
      <c r="G261" s="927" t="n"/>
      <c r="H261" s="927" t="n"/>
      <c r="I261" s="928" t="n"/>
      <c r="J261" s="928" t="n"/>
      <c r="K261" s="928" t="n"/>
      <c r="M261" s="891" t="n"/>
      <c r="N261" s="891" t="n"/>
      <c r="O261" s="891" t="n"/>
      <c r="P261" s="892" t="n"/>
    </row>
    <row r="262" ht="15.75" customHeight="1" s="614">
      <c r="A262" s="780" t="n"/>
      <c r="B262" s="668" t="n"/>
      <c r="C262" s="647" t="n"/>
      <c r="D262" s="944" t="inlineStr">
        <is>
          <t>指示状況の確認</t>
        </is>
      </c>
      <c r="E262" s="945" t="n"/>
      <c r="F262" s="957" t="n"/>
      <c r="G262" s="989" t="n"/>
      <c r="H262" s="989" t="n"/>
      <c r="I262" s="958" t="n"/>
      <c r="J262" s="958" t="n"/>
      <c r="K262" s="958" t="n"/>
      <c r="M262" s="891" t="n"/>
      <c r="N262" s="891" t="n"/>
      <c r="O262" s="891" t="n"/>
      <c r="P262" s="892" t="n"/>
    </row>
    <row r="263" ht="15.75" customHeight="1" s="614">
      <c r="A263" s="780" t="n"/>
      <c r="B263" s="668" t="n"/>
      <c r="C263" s="647" t="n"/>
      <c r="D263" s="959" t="inlineStr">
        <is>
          <t>No.１余剰汚泥ポンプ流量計読み</t>
        </is>
      </c>
      <c r="E263" s="945" t="n"/>
      <c r="F263" s="960" t="inlineStr">
        <is>
          <t>㎥/ｈ</t>
        </is>
      </c>
      <c r="G263" s="990" t="n"/>
      <c r="H263" s="990" t="n"/>
      <c r="I263" s="961" t="n"/>
      <c r="J263" s="961" t="n"/>
      <c r="K263" s="961" t="n"/>
      <c r="M263" s="891" t="n"/>
      <c r="N263" s="891" t="n"/>
      <c r="O263" s="891" t="n"/>
      <c r="P263" s="892" t="n"/>
    </row>
    <row r="264" ht="15.75" customHeight="1" s="614">
      <c r="A264" s="780" t="n"/>
      <c r="B264" s="657" t="n"/>
      <c r="C264" s="654" t="n"/>
      <c r="D264" s="947" t="inlineStr">
        <is>
          <t>流量計積算読み</t>
        </is>
      </c>
      <c r="E264" s="692" t="n"/>
      <c r="F264" s="962" t="inlineStr">
        <is>
          <t>㎥</t>
        </is>
      </c>
      <c r="G264" s="963" t="n"/>
      <c r="H264" s="963" t="n"/>
      <c r="I264" s="963" t="n"/>
      <c r="J264" s="963" t="n"/>
      <c r="K264" s="963" t="n"/>
      <c r="M264" s="891" t="n"/>
      <c r="N264" s="891" t="n"/>
      <c r="O264" s="891" t="n"/>
      <c r="P264" s="892" t="n"/>
    </row>
    <row r="265" ht="15.75" customHeight="1" s="614">
      <c r="A265" s="780" t="n"/>
      <c r="B265" s="772" t="inlineStr">
        <is>
          <t>放流流量計</t>
        </is>
      </c>
      <c r="C265" s="640" t="n"/>
      <c r="D265" s="942" t="inlineStr">
        <is>
          <t>外観の確認</t>
        </is>
      </c>
      <c r="E265" s="688" t="n"/>
      <c r="F265" s="943" t="n"/>
      <c r="G265" s="895" t="n"/>
      <c r="H265" s="895" t="n"/>
      <c r="I265" s="804" t="n"/>
      <c r="J265" s="804" t="n"/>
      <c r="K265" s="804" t="n"/>
      <c r="M265" s="891" t="n"/>
      <c r="N265" s="891" t="n"/>
      <c r="O265" s="891" t="n"/>
      <c r="P265" s="892" t="n"/>
    </row>
    <row r="266" ht="15.75" customHeight="1" s="614">
      <c r="A266" s="780" t="n"/>
      <c r="B266" s="668" t="n"/>
      <c r="C266" s="647" t="n"/>
      <c r="D266" s="944" t="inlineStr">
        <is>
          <t>指示状況の確認</t>
        </is>
      </c>
      <c r="E266" s="945" t="n"/>
      <c r="F266" s="960" t="n"/>
      <c r="G266" s="985" t="n"/>
      <c r="H266" s="985" t="n"/>
      <c r="I266" s="936" t="n"/>
      <c r="J266" s="936" t="n"/>
      <c r="K266" s="936" t="n"/>
      <c r="M266" s="891" t="n"/>
      <c r="N266" s="891" t="n"/>
      <c r="O266" s="891" t="n"/>
      <c r="P266" s="892" t="n"/>
    </row>
    <row r="267" ht="15.75" customHeight="1" s="614">
      <c r="A267" s="780" t="n"/>
      <c r="B267" s="668" t="n"/>
      <c r="C267" s="647" t="n"/>
      <c r="D267" s="944" t="inlineStr">
        <is>
          <t>流量計の読み</t>
        </is>
      </c>
      <c r="E267" s="945" t="n"/>
      <c r="F267" s="960" t="inlineStr">
        <is>
          <t>㎥/ｈ</t>
        </is>
      </c>
      <c r="G267" s="953" t="n"/>
      <c r="H267" s="953" t="n"/>
      <c r="I267" s="988" t="n"/>
      <c r="J267" s="988" t="n"/>
      <c r="K267" s="988" t="n"/>
      <c r="M267" s="891" t="n"/>
      <c r="N267" s="891" t="n"/>
      <c r="O267" s="891" t="n"/>
      <c r="P267" s="892" t="n"/>
    </row>
    <row r="268" ht="15.75" customHeight="1" s="614">
      <c r="A268" s="780" t="n"/>
      <c r="B268" s="657" t="n"/>
      <c r="C268" s="654" t="n"/>
      <c r="D268" s="947" t="inlineStr">
        <is>
          <t>流量計積算の読み</t>
        </is>
      </c>
      <c r="E268" s="692" t="n"/>
      <c r="F268" s="962" t="inlineStr">
        <is>
          <t>㎥</t>
        </is>
      </c>
      <c r="G268" s="966" t="n"/>
      <c r="H268" s="966" t="n"/>
      <c r="I268" s="966" t="n"/>
      <c r="J268" s="966" t="n"/>
      <c r="K268" s="966" t="n"/>
      <c r="M268" s="891" t="n"/>
      <c r="N268" s="891" t="n"/>
      <c r="O268" s="891" t="n"/>
      <c r="P268" s="892" t="n"/>
    </row>
    <row r="269" ht="15.75" customHeight="1" s="614">
      <c r="A269" s="780" t="n"/>
      <c r="B269" s="967" t="inlineStr">
        <is>
          <t>汚濁負荷量計</t>
        </is>
      </c>
      <c r="C269" s="640" t="n"/>
      <c r="D269" s="942" t="inlineStr">
        <is>
          <t>外観の確認</t>
        </is>
      </c>
      <c r="E269" s="688" t="n"/>
      <c r="F269" s="956" t="n"/>
      <c r="G269" s="927" t="n"/>
      <c r="H269" s="927" t="n"/>
      <c r="I269" s="928" t="n"/>
      <c r="J269" s="928" t="n"/>
      <c r="K269" s="928" t="n"/>
      <c r="M269" s="891" t="n"/>
      <c r="N269" s="891" t="n"/>
      <c r="O269" s="891" t="n"/>
      <c r="P269" s="892" t="n"/>
    </row>
    <row r="270" ht="15.75" customHeight="1" s="614">
      <c r="A270" s="780" t="n"/>
      <c r="B270" s="668" t="n"/>
      <c r="C270" s="647" t="n"/>
      <c r="D270" s="944" t="inlineStr">
        <is>
          <t>指示状況の確認</t>
        </is>
      </c>
      <c r="E270" s="945" t="n"/>
      <c r="F270" s="957" t="n"/>
      <c r="G270" s="920" t="n"/>
      <c r="H270" s="920" t="n"/>
      <c r="I270" s="968" t="n"/>
      <c r="J270" s="968" t="n"/>
      <c r="K270" s="968" t="n"/>
      <c r="M270" s="891" t="n"/>
      <c r="N270" s="891" t="n"/>
      <c r="O270" s="891" t="n"/>
      <c r="P270" s="892" t="n"/>
    </row>
    <row r="271" ht="15.75" customHeight="1" s="614">
      <c r="A271" s="780" t="n"/>
      <c r="B271" s="969" t="inlineStr">
        <is>
          <t>（放流水ＵＶ）</t>
        </is>
      </c>
      <c r="C271" s="647" t="n"/>
      <c r="D271" s="944" t="inlineStr">
        <is>
          <t>ＵＶ値</t>
        </is>
      </c>
      <c r="E271" s="945" t="n"/>
      <c r="F271" s="970" t="inlineStr">
        <is>
          <t>Abs</t>
        </is>
      </c>
      <c r="G271" s="971" t="n"/>
      <c r="H271" s="971" t="n"/>
      <c r="I271" s="971" t="n"/>
      <c r="J271" s="971" t="n"/>
      <c r="K271" s="971" t="n"/>
      <c r="M271" s="891" t="n"/>
      <c r="N271" s="891" t="n"/>
      <c r="O271" s="891" t="n"/>
      <c r="P271" s="892" t="n"/>
    </row>
    <row r="272" ht="15.75" customHeight="1" s="614">
      <c r="A272" s="780" t="n"/>
      <c r="B272" s="657" t="n"/>
      <c r="C272" s="654" t="n"/>
      <c r="D272" s="947" t="inlineStr">
        <is>
          <t>ＣＯＤ値</t>
        </is>
      </c>
      <c r="E272" s="692" t="n"/>
      <c r="F272" s="962" t="inlineStr">
        <is>
          <t>㎎/ℓ</t>
        </is>
      </c>
      <c r="G272" s="994" t="n"/>
      <c r="H272" s="994" t="n"/>
      <c r="I272" s="972" t="n"/>
      <c r="J272" s="972" t="n"/>
      <c r="K272" s="972" t="n"/>
      <c r="M272" s="891" t="n"/>
      <c r="N272" s="891" t="n"/>
      <c r="O272" s="891" t="n"/>
      <c r="P272" s="892" t="n"/>
    </row>
    <row r="273" ht="15.75" customHeight="1" s="614">
      <c r="A273" s="780" t="n"/>
      <c r="B273" s="772" t="inlineStr">
        <is>
          <t>全窒素・全燐計</t>
        </is>
      </c>
      <c r="C273" s="640" t="n"/>
      <c r="D273" s="942" t="inlineStr">
        <is>
          <t>外観の確認</t>
        </is>
      </c>
      <c r="E273" s="688" t="n"/>
      <c r="F273" s="943" t="n"/>
      <c r="G273" s="895" t="n"/>
      <c r="H273" s="895" t="n"/>
      <c r="I273" s="804" t="n"/>
      <c r="J273" s="804" t="n"/>
      <c r="K273" s="804" t="n"/>
      <c r="M273" s="891" t="n"/>
      <c r="N273" s="891" t="n"/>
      <c r="O273" s="891" t="n"/>
      <c r="P273" s="892" t="n"/>
    </row>
    <row r="274" ht="15.75" customHeight="1" s="614">
      <c r="A274" s="780" t="n"/>
      <c r="B274" s="668" t="n"/>
      <c r="C274" s="647" t="n"/>
      <c r="D274" s="944" t="inlineStr">
        <is>
          <t>指示状況の確認</t>
        </is>
      </c>
      <c r="E274" s="945" t="n"/>
      <c r="F274" s="960" t="n"/>
      <c r="G274" s="985" t="n"/>
      <c r="H274" s="985" t="n"/>
      <c r="I274" s="936" t="n"/>
      <c r="J274" s="936" t="n"/>
      <c r="K274" s="936" t="n"/>
      <c r="M274" s="891" t="n"/>
      <c r="N274" s="891" t="n"/>
      <c r="O274" s="891" t="n"/>
      <c r="P274" s="892" t="n"/>
    </row>
    <row r="275" ht="15.75" customHeight="1" s="614">
      <c r="A275" s="780" t="n"/>
      <c r="B275" s="668" t="n"/>
      <c r="C275" s="647" t="n"/>
      <c r="D275" s="944" t="inlineStr">
        <is>
          <t>計器読み（全窒素）</t>
        </is>
      </c>
      <c r="E275" s="945" t="n"/>
      <c r="F275" s="960" t="inlineStr">
        <is>
          <t>㎎/ℓ</t>
        </is>
      </c>
      <c r="G275" s="995" t="n"/>
      <c r="H275" s="995" t="n"/>
      <c r="I275" s="973" t="n"/>
      <c r="J275" s="973" t="n"/>
      <c r="K275" s="973" t="n"/>
      <c r="M275" s="891" t="n"/>
      <c r="N275" s="891" t="n"/>
      <c r="O275" s="891" t="n"/>
      <c r="P275" s="892" t="n"/>
    </row>
    <row r="276" ht="15.75" customHeight="1" s="614">
      <c r="A276" s="780" t="n"/>
      <c r="B276" s="657" t="n"/>
      <c r="C276" s="654" t="n"/>
      <c r="D276" s="947" t="inlineStr">
        <is>
          <t>計器読み（全りん）</t>
        </is>
      </c>
      <c r="E276" s="692" t="n"/>
      <c r="F276" s="948" t="inlineStr">
        <is>
          <t>㎎/ℓ</t>
        </is>
      </c>
      <c r="G276" s="994" t="n"/>
      <c r="H276" s="994" t="n"/>
      <c r="I276" s="972" t="n"/>
      <c r="J276" s="972" t="n"/>
      <c r="K276" s="972" t="n"/>
      <c r="M276" s="891" t="n"/>
      <c r="N276" s="891" t="n"/>
      <c r="O276" s="891" t="n"/>
      <c r="P276" s="892" t="n"/>
    </row>
    <row r="277" ht="15.75" customHeight="1" s="614">
      <c r="A277" s="780" t="n"/>
      <c r="B277" s="878" t="inlineStr">
        <is>
          <t>圧力式液位計</t>
        </is>
      </c>
      <c r="C277" s="640" t="n"/>
      <c r="D277" s="942" t="inlineStr">
        <is>
          <t>外観の確認</t>
        </is>
      </c>
      <c r="E277" s="974" t="n"/>
      <c r="F277" s="943" t="n"/>
      <c r="G277" s="895" t="n"/>
      <c r="H277" s="895" t="n"/>
      <c r="I277" s="804" t="n"/>
      <c r="J277" s="804" t="n"/>
      <c r="K277" s="804" t="n"/>
      <c r="M277" s="891" t="n"/>
      <c r="N277" s="891" t="n"/>
      <c r="O277" s="891" t="n"/>
      <c r="P277" s="892" t="n"/>
    </row>
    <row r="278" ht="15.75" customHeight="1" s="614">
      <c r="A278" s="780" t="n"/>
      <c r="B278" s="668" t="n"/>
      <c r="C278" s="647" t="n"/>
      <c r="D278" s="944" t="inlineStr">
        <is>
          <t>指示状況の確認</t>
        </is>
      </c>
      <c r="E278" s="975" t="n"/>
      <c r="F278" s="960" t="n"/>
      <c r="G278" s="985" t="n"/>
      <c r="H278" s="985" t="n"/>
      <c r="I278" s="936" t="n"/>
      <c r="J278" s="936" t="n"/>
      <c r="K278" s="936" t="n"/>
      <c r="M278" s="891" t="n"/>
      <c r="N278" s="891" t="n"/>
      <c r="O278" s="891" t="n"/>
      <c r="P278" s="892" t="n"/>
    </row>
    <row r="279" ht="15.75" customHeight="1" s="614">
      <c r="A279" s="769" t="n"/>
      <c r="B279" s="657" t="n"/>
      <c r="C279" s="654" t="n"/>
      <c r="D279" s="947" t="inlineStr">
        <is>
          <t>機器指示地の記録</t>
        </is>
      </c>
      <c r="E279" s="976" t="n"/>
      <c r="F279" s="948" t="inlineStr">
        <is>
          <t>ｍ</t>
        </is>
      </c>
      <c r="G279" s="986" t="n"/>
      <c r="H279" s="986" t="n"/>
      <c r="I279" s="940" t="n"/>
      <c r="J279" s="940" t="n"/>
      <c r="K279" s="940" t="n"/>
      <c r="M279" s="891" t="n"/>
      <c r="N279" s="891" t="n"/>
      <c r="O279" s="891" t="n"/>
      <c r="P279" s="892" t="n"/>
    </row>
    <row r="280" ht="15.75" customHeight="1" s="614">
      <c r="A280" s="1013" t="inlineStr">
        <is>
          <t>発電機設備</t>
        </is>
      </c>
      <c r="B280" s="832" t="inlineStr">
        <is>
          <t>発電機盤</t>
        </is>
      </c>
      <c r="C280" s="627" t="n"/>
      <c r="D280" s="773" t="inlineStr">
        <is>
          <t>外観の確認</t>
        </is>
      </c>
      <c r="E280" s="626" t="n"/>
      <c r="F280" s="805" t="n"/>
      <c r="G280" s="921" t="n"/>
      <c r="H280" s="921" t="n"/>
      <c r="I280" s="768" t="n"/>
      <c r="J280" s="768" t="n"/>
      <c r="K280" s="768" t="n"/>
      <c r="M280" s="891" t="n"/>
      <c r="N280" s="891" t="n"/>
      <c r="O280" s="891" t="n"/>
      <c r="P280" s="892" t="n"/>
    </row>
    <row r="281" ht="15.75" customHeight="1" s="614">
      <c r="A281" s="780" t="n"/>
      <c r="B281" s="832" t="inlineStr">
        <is>
          <t>燃料タンク</t>
        </is>
      </c>
      <c r="C281" s="640" t="n"/>
      <c r="D281" s="942" t="inlineStr">
        <is>
          <t>外観の確認</t>
        </is>
      </c>
      <c r="E281" s="688" t="n"/>
      <c r="F281" s="943" t="n"/>
      <c r="G281" s="895" t="n"/>
      <c r="H281" s="895" t="n"/>
      <c r="I281" s="804" t="n"/>
      <c r="J281" s="804" t="n"/>
      <c r="K281" s="804" t="n"/>
      <c r="M281" s="891" t="n"/>
      <c r="N281" s="891" t="n"/>
      <c r="O281" s="891" t="n"/>
      <c r="P281" s="892" t="n"/>
    </row>
    <row r="282" ht="15.75" customHeight="1" s="614">
      <c r="A282" s="780" t="n"/>
      <c r="B282" s="657" t="n"/>
      <c r="C282" s="654" t="n"/>
      <c r="D282" s="947" t="inlineStr">
        <is>
          <t>残量の値</t>
        </is>
      </c>
      <c r="E282" s="692" t="n"/>
      <c r="F282" s="978" t="inlineStr">
        <is>
          <t>ℓ</t>
        </is>
      </c>
      <c r="G282" s="996" t="n"/>
      <c r="H282" s="996" t="n"/>
      <c r="I282" s="979" t="n"/>
      <c r="J282" s="979" t="n"/>
      <c r="K282" s="979" t="n"/>
      <c r="M282" s="891" t="n"/>
      <c r="N282" s="891" t="n"/>
      <c r="O282" s="891" t="n"/>
      <c r="P282" s="892" t="n"/>
    </row>
    <row r="283" ht="15.75" customHeight="1" s="614">
      <c r="A283" s="931" t="inlineStr">
        <is>
          <t>他</t>
        </is>
      </c>
      <c r="B283" s="832" t="inlineStr">
        <is>
          <t>通報装置</t>
        </is>
      </c>
      <c r="C283" s="627" t="n"/>
      <c r="D283" s="773" t="inlineStr">
        <is>
          <t>通報状態の確認</t>
        </is>
      </c>
      <c r="E283" s="626" t="n"/>
      <c r="F283" s="805" t="n"/>
      <c r="G283" s="895" t="n"/>
      <c r="H283" s="895" t="n"/>
      <c r="I283" s="804" t="n"/>
      <c r="J283" s="804" t="n"/>
      <c r="K283" s="804" t="n"/>
      <c r="M283" s="891" t="n"/>
      <c r="N283" s="891" t="n"/>
      <c r="O283" s="891" t="n"/>
      <c r="P283" s="892" t="n"/>
    </row>
    <row r="284" ht="16.5" customHeight="1" s="614">
      <c r="A284" s="980" t="n"/>
      <c r="B284" s="849" t="inlineStr">
        <is>
          <t>○：良　　△：要注意　　×要修理</t>
        </is>
      </c>
      <c r="C284" s="849" t="n"/>
      <c r="D284" s="849" t="n"/>
      <c r="E284" s="849" t="n"/>
      <c r="F284" s="981" t="n"/>
      <c r="G284" s="981" t="n"/>
      <c r="H284" s="981" t="n"/>
      <c r="I284" s="981" t="n"/>
      <c r="J284" s="981" t="n"/>
      <c r="K284" s="981" t="n"/>
      <c r="M284" s="891" t="n"/>
      <c r="N284" s="891" t="n"/>
      <c r="O284" s="891" t="n"/>
      <c r="P284" s="892" t="n"/>
    </row>
    <row r="285" ht="21" customHeight="1" s="614">
      <c r="A285" s="764" t="inlineStr">
        <is>
          <t xml:space="preserve">　電気設備日常点検（１/２）</t>
        </is>
      </c>
      <c r="K285" s="839">
        <f>K214</f>
        <v/>
      </c>
      <c r="M285" s="891" t="n"/>
      <c r="N285" s="891" t="n"/>
      <c r="O285" s="891" t="n"/>
      <c r="P285" s="892" t="n"/>
    </row>
    <row r="286" ht="13.5" customHeight="1" s="614">
      <c r="G286" s="771" t="n"/>
      <c r="H286" s="875" t="n"/>
      <c r="I286" s="875" t="n"/>
      <c r="J286" s="875" t="n"/>
      <c r="K286" s="875" t="n"/>
      <c r="M286" s="891" t="n"/>
      <c r="N286" s="891" t="n"/>
      <c r="O286" s="891" t="n"/>
      <c r="P286" s="892" t="n"/>
    </row>
    <row r="287" ht="17.25" customHeight="1" s="614">
      <c r="A287" s="893" t="inlineStr">
        <is>
          <t>電　　　　　気　　　　　室</t>
        </is>
      </c>
      <c r="B287" s="893" t="inlineStr">
        <is>
          <t>引込・受電</t>
        </is>
      </c>
      <c r="C287" s="832" t="inlineStr">
        <is>
          <t>電圧</t>
        </is>
      </c>
      <c r="D287" s="639" t="n"/>
      <c r="E287" s="640" t="n"/>
      <c r="F287" s="894" t="inlineStr">
        <is>
          <t>KV</t>
        </is>
      </c>
      <c r="G287" s="804" t="n"/>
      <c r="H287" s="895" t="n"/>
      <c r="I287" s="895" t="n"/>
      <c r="J287" s="895" t="n"/>
      <c r="K287" s="895" t="n"/>
      <c r="M287" s="891" t="n"/>
      <c r="N287" s="891" t="n"/>
      <c r="O287" s="891" t="n"/>
      <c r="P287" s="892" t="n"/>
    </row>
    <row r="288" ht="17.25" customHeight="1" s="614">
      <c r="A288" s="780" t="n"/>
      <c r="B288" s="780" t="n"/>
      <c r="C288" s="657" t="n"/>
      <c r="D288" s="653" t="n"/>
      <c r="E288" s="654" t="n"/>
      <c r="F288" s="896" t="inlineStr">
        <is>
          <t>モード</t>
        </is>
      </c>
      <c r="G288" s="929" t="n"/>
      <c r="H288" s="897" t="n"/>
      <c r="I288" s="897" t="n"/>
      <c r="J288" s="897" t="n"/>
      <c r="K288" s="897" t="n"/>
      <c r="M288" s="891" t="n"/>
      <c r="N288" s="891" t="n"/>
      <c r="O288" s="891" t="n"/>
      <c r="P288" s="892" t="n"/>
    </row>
    <row r="289" ht="17.25" customHeight="1" s="614">
      <c r="A289" s="780" t="n"/>
      <c r="B289" s="780" t="n"/>
      <c r="C289" s="832" t="inlineStr">
        <is>
          <t>力率</t>
        </is>
      </c>
      <c r="D289" s="626" t="n"/>
      <c r="E289" s="627" t="n"/>
      <c r="F289" s="898" t="inlineStr">
        <is>
          <t>ψ</t>
        </is>
      </c>
      <c r="G289" s="900" t="n"/>
      <c r="H289" s="899" t="n"/>
      <c r="I289" s="899" t="n"/>
      <c r="J289" s="899" t="n"/>
      <c r="K289" s="899" t="n"/>
      <c r="M289" s="891" t="n"/>
      <c r="N289" s="891" t="n"/>
      <c r="O289" s="891" t="n"/>
      <c r="P289" s="892" t="n"/>
    </row>
    <row r="290" ht="17.25" customHeight="1" s="614">
      <c r="A290" s="780" t="n"/>
      <c r="B290" s="780" t="n"/>
      <c r="C290" s="832" t="inlineStr">
        <is>
          <t>電流</t>
        </is>
      </c>
      <c r="D290" s="639" t="n"/>
      <c r="E290" s="640" t="n"/>
      <c r="F290" s="894" t="inlineStr">
        <is>
          <t>A</t>
        </is>
      </c>
      <c r="G290" s="902" t="n"/>
      <c r="H290" s="901" t="n"/>
      <c r="I290" s="901" t="n"/>
      <c r="J290" s="901" t="n"/>
      <c r="K290" s="901" t="n"/>
      <c r="M290" s="891" t="n"/>
      <c r="N290" s="891" t="n"/>
      <c r="O290" s="891" t="n"/>
      <c r="P290" s="892" t="n"/>
    </row>
    <row r="291" ht="17.25" customHeight="1" s="614">
      <c r="A291" s="780" t="n"/>
      <c r="B291" s="780" t="n"/>
      <c r="C291" s="657" t="n"/>
      <c r="D291" s="653" t="n"/>
      <c r="E291" s="654" t="n"/>
      <c r="F291" s="896" t="inlineStr">
        <is>
          <t>モード</t>
        </is>
      </c>
      <c r="G291" s="929" t="n"/>
      <c r="H291" s="897" t="n"/>
      <c r="I291" s="897" t="n"/>
      <c r="J291" s="897" t="n"/>
      <c r="K291" s="897" t="n"/>
      <c r="M291" s="891" t="n"/>
      <c r="N291" s="891" t="n"/>
      <c r="O291" s="891" t="n"/>
      <c r="P291" s="892" t="n"/>
    </row>
    <row r="292" ht="17.25" customHeight="1" s="614">
      <c r="A292" s="780" t="n"/>
      <c r="B292" s="780" t="n"/>
      <c r="C292" s="832" t="inlineStr">
        <is>
          <t>普通電力量（×１０ｋw）</t>
        </is>
      </c>
      <c r="D292" s="639" t="n"/>
      <c r="E292" s="640" t="n"/>
      <c r="F292" s="903" t="inlineStr">
        <is>
          <t>読み</t>
        </is>
      </c>
      <c r="G292" s="902" t="n"/>
      <c r="H292" s="901" t="n"/>
      <c r="I292" s="901" t="n"/>
      <c r="J292" s="901" t="n"/>
      <c r="K292" s="901" t="n"/>
      <c r="M292" s="891" t="n"/>
      <c r="N292" s="904" t="n"/>
      <c r="O292" s="891" t="n"/>
      <c r="P292" s="892" t="n"/>
    </row>
    <row r="293" ht="17.25" customHeight="1" s="614">
      <c r="A293" s="780" t="n"/>
      <c r="B293" s="780" t="n"/>
      <c r="C293" s="657" t="n"/>
      <c r="D293" s="653" t="n"/>
      <c r="E293" s="654" t="n"/>
      <c r="F293" s="896" t="inlineStr">
        <is>
          <t>使用量</t>
        </is>
      </c>
      <c r="G293" s="906" t="n"/>
      <c r="H293" s="905" t="n"/>
      <c r="I293" s="905" t="n"/>
      <c r="J293" s="905" t="n"/>
      <c r="K293" s="905" t="n"/>
      <c r="M293" s="891" t="n"/>
      <c r="N293" s="891" t="n"/>
      <c r="O293" s="891" t="n"/>
      <c r="P293" s="892" t="n"/>
    </row>
    <row r="294" ht="17.25" customHeight="1" s="614">
      <c r="A294" s="780" t="n"/>
      <c r="B294" s="780" t="n"/>
      <c r="C294" s="832" t="inlineStr">
        <is>
          <t>引込・受電設定</t>
        </is>
      </c>
      <c r="D294" s="639" t="n"/>
      <c r="E294" s="640" t="n"/>
      <c r="F294" s="903" t="inlineStr">
        <is>
          <t>手動/自動</t>
        </is>
      </c>
      <c r="G294" s="908" t="n"/>
      <c r="H294" s="907" t="n"/>
      <c r="I294" s="907" t="n"/>
      <c r="J294" s="907" t="n"/>
      <c r="K294" s="907" t="n"/>
      <c r="M294" s="904" t="n"/>
      <c r="N294" s="904" t="n"/>
      <c r="O294" s="891" t="n"/>
      <c r="P294" s="892" t="n"/>
    </row>
    <row r="295" ht="17.25" customHeight="1" s="614">
      <c r="A295" s="780" t="n"/>
      <c r="B295" s="769" t="n"/>
      <c r="C295" s="657" t="n"/>
      <c r="D295" s="653" t="n"/>
      <c r="E295" s="654" t="n"/>
      <c r="F295" s="896" t="inlineStr">
        <is>
          <t>切/入</t>
        </is>
      </c>
      <c r="G295" s="910" t="n"/>
      <c r="H295" s="909" t="n"/>
      <c r="I295" s="909" t="n"/>
      <c r="J295" s="909" t="n"/>
      <c r="K295" s="909" t="n"/>
      <c r="M295" s="904" t="n"/>
      <c r="N295" s="904" t="n"/>
      <c r="O295" s="891" t="n"/>
      <c r="P295" s="892" t="n"/>
    </row>
    <row r="296" ht="17.25" customHeight="1" s="614">
      <c r="A296" s="780" t="n"/>
      <c r="B296" s="911" t="inlineStr">
        <is>
          <t>変圧器</t>
        </is>
      </c>
      <c r="C296" s="912" t="inlineStr">
        <is>
          <t>主変圧器温度</t>
        </is>
      </c>
      <c r="D296" s="639" t="n"/>
      <c r="E296" s="640" t="n"/>
      <c r="F296" s="894" t="inlineStr">
        <is>
          <t>℃</t>
        </is>
      </c>
      <c r="G296" s="902" t="n"/>
      <c r="H296" s="901" t="n"/>
      <c r="I296" s="901" t="n"/>
      <c r="J296" s="901" t="n"/>
      <c r="K296" s="901" t="n"/>
      <c r="M296" s="891" t="n"/>
      <c r="N296" s="891" t="n"/>
      <c r="O296" s="891" t="n"/>
      <c r="P296" s="892" t="n"/>
    </row>
    <row r="297" ht="17.25" customHeight="1" s="614">
      <c r="A297" s="780" t="n"/>
      <c r="B297" s="769" t="n"/>
      <c r="C297" s="835" t="inlineStr">
        <is>
          <t>異音、脱臭の有無</t>
        </is>
      </c>
      <c r="D297" s="653" t="n"/>
      <c r="E297" s="654" t="n"/>
      <c r="F297" s="896" t="inlineStr">
        <is>
          <t>有・無</t>
        </is>
      </c>
      <c r="G297" s="910" t="n"/>
      <c r="H297" s="909" t="n"/>
      <c r="I297" s="909" t="n"/>
      <c r="J297" s="909" t="n"/>
      <c r="K297" s="909" t="n"/>
      <c r="M297" s="904" t="n"/>
      <c r="N297" s="904" t="n"/>
      <c r="O297" s="891" t="n"/>
      <c r="P297" s="892" t="n"/>
    </row>
    <row r="298" ht="17.25" customHeight="1" s="614">
      <c r="A298" s="780" t="n"/>
      <c r="B298" s="914" t="inlineStr">
        <is>
          <t>低　　圧　　分　　岐</t>
        </is>
      </c>
      <c r="C298" s="832" t="inlineStr">
        <is>
          <t>動力（２１０V）　電圧</t>
        </is>
      </c>
      <c r="D298" s="639" t="n"/>
      <c r="E298" s="640" t="n"/>
      <c r="F298" s="894" t="inlineStr">
        <is>
          <t>V</t>
        </is>
      </c>
      <c r="G298" s="804" t="n"/>
      <c r="H298" s="895" t="n"/>
      <c r="I298" s="895" t="n"/>
      <c r="J298" s="895" t="n"/>
      <c r="K298" s="895" t="n"/>
      <c r="M298" s="891" t="n"/>
      <c r="N298" s="891" t="n"/>
      <c r="O298" s="891" t="n"/>
      <c r="P298" s="892" t="n"/>
    </row>
    <row r="299" ht="17.25" customHeight="1" s="614">
      <c r="A299" s="780" t="n"/>
      <c r="B299" s="780" t="n"/>
      <c r="C299" s="657" t="n"/>
      <c r="D299" s="653" t="n"/>
      <c r="E299" s="654" t="n"/>
      <c r="F299" s="896" t="inlineStr">
        <is>
          <t>モード</t>
        </is>
      </c>
      <c r="G299" s="929" t="n"/>
      <c r="H299" s="897" t="n"/>
      <c r="I299" s="897" t="n"/>
      <c r="J299" s="897" t="n"/>
      <c r="K299" s="897" t="n"/>
      <c r="M299" s="891" t="n"/>
      <c r="N299" s="891" t="n"/>
      <c r="O299" s="891" t="n"/>
      <c r="P299" s="892" t="n"/>
    </row>
    <row r="300" ht="17.25" customHeight="1" s="614">
      <c r="A300" s="780" t="n"/>
      <c r="B300" s="780" t="n"/>
      <c r="C300" s="832" t="inlineStr">
        <is>
          <t>動力（２１０V）　電流</t>
        </is>
      </c>
      <c r="D300" s="639" t="n"/>
      <c r="E300" s="640" t="n"/>
      <c r="F300" s="916" t="inlineStr">
        <is>
          <t>A</t>
        </is>
      </c>
      <c r="G300" s="918" t="n"/>
      <c r="H300" s="917" t="n"/>
      <c r="I300" s="917" t="n"/>
      <c r="J300" s="917" t="n"/>
      <c r="K300" s="917" t="n"/>
      <c r="M300" s="891" t="n"/>
      <c r="N300" s="891" t="n"/>
      <c r="O300" s="891" t="n"/>
      <c r="P300" s="892" t="n"/>
    </row>
    <row r="301" ht="17.25" customHeight="1" s="614">
      <c r="A301" s="780" t="n"/>
      <c r="B301" s="780" t="n"/>
      <c r="C301" s="657" t="n"/>
      <c r="D301" s="653" t="n"/>
      <c r="E301" s="654" t="n"/>
      <c r="F301" s="919" t="inlineStr">
        <is>
          <t>モード</t>
        </is>
      </c>
      <c r="G301" s="968" t="n"/>
      <c r="H301" s="920" t="n"/>
      <c r="I301" s="920" t="n"/>
      <c r="J301" s="920" t="n"/>
      <c r="K301" s="920" t="n"/>
      <c r="M301" s="891" t="n"/>
      <c r="N301" s="891" t="n"/>
      <c r="O301" s="891" t="n"/>
      <c r="P301" s="892" t="n"/>
    </row>
    <row r="302" ht="17.25" customHeight="1" s="614">
      <c r="A302" s="780" t="n"/>
      <c r="B302" s="780" t="n"/>
      <c r="C302" s="832" t="inlineStr">
        <is>
          <t>照明(210-105V)   電流</t>
        </is>
      </c>
      <c r="D302" s="639" t="n"/>
      <c r="E302" s="640" t="n"/>
      <c r="F302" s="916" t="inlineStr">
        <is>
          <t>A</t>
        </is>
      </c>
      <c r="G302" s="918" t="n"/>
      <c r="H302" s="917" t="n"/>
      <c r="I302" s="917" t="n"/>
      <c r="J302" s="917" t="n"/>
      <c r="K302" s="917" t="n"/>
      <c r="M302" s="891" t="n"/>
      <c r="N302" s="891" t="n"/>
      <c r="O302" s="891" t="n"/>
      <c r="P302" s="892" t="n"/>
    </row>
    <row r="303" ht="17.25" customHeight="1" s="614">
      <c r="A303" s="780" t="n"/>
      <c r="B303" s="780" t="n"/>
      <c r="C303" s="657" t="n"/>
      <c r="D303" s="653" t="n"/>
      <c r="E303" s="654" t="n"/>
      <c r="F303" s="919" t="inlineStr">
        <is>
          <t>モード</t>
        </is>
      </c>
      <c r="G303" s="929" t="n"/>
      <c r="H303" s="897" t="n"/>
      <c r="I303" s="897" t="n"/>
      <c r="J303" s="897" t="n"/>
      <c r="K303" s="897" t="n"/>
      <c r="M303" s="904" t="n"/>
      <c r="N303" s="904" t="n"/>
      <c r="O303" s="904" t="n"/>
      <c r="P303" s="892" t="n"/>
    </row>
    <row r="304" ht="17.25" customHeight="1" s="614">
      <c r="A304" s="780" t="n"/>
      <c r="B304" s="780" t="n"/>
      <c r="C304" s="832" t="inlineStr">
        <is>
          <t>低圧分岐設備</t>
        </is>
      </c>
      <c r="D304" s="626" t="n"/>
      <c r="E304" s="627" t="n"/>
      <c r="F304" s="922" t="inlineStr">
        <is>
          <t>買電/自家発</t>
        </is>
      </c>
      <c r="G304" s="767" t="n"/>
      <c r="H304" s="874" t="n"/>
      <c r="I304" s="874" t="n"/>
      <c r="J304" s="874" t="n"/>
      <c r="K304" s="874" t="n"/>
      <c r="M304" s="904" t="n"/>
      <c r="N304" s="904" t="n"/>
      <c r="O304" s="891" t="n"/>
      <c r="P304" s="892" t="n"/>
    </row>
    <row r="305" ht="17.25" customHeight="1" s="614">
      <c r="A305" s="780" t="n"/>
      <c r="B305" s="780" t="n"/>
      <c r="C305" s="912" t="inlineStr">
        <is>
          <t>動力制御盤1</t>
        </is>
      </c>
      <c r="D305" s="639" t="n"/>
      <c r="E305" s="640" t="n"/>
      <c r="F305" s="923" t="inlineStr">
        <is>
          <t>読み</t>
        </is>
      </c>
      <c r="G305" s="925" t="n"/>
      <c r="H305" s="924" t="n"/>
      <c r="I305" s="924" t="n"/>
      <c r="J305" s="924" t="n"/>
      <c r="K305" s="924" t="n"/>
      <c r="M305" s="891" t="n"/>
      <c r="N305" s="891" t="n"/>
      <c r="O305" s="891" t="n"/>
      <c r="P305" s="892" t="n"/>
    </row>
    <row r="306" ht="17.25" customHeight="1" s="614">
      <c r="A306" s="780" t="n"/>
      <c r="B306" s="780" t="n"/>
      <c r="C306" s="835" t="inlineStr">
        <is>
          <t>（×１ｋｗｈ）</t>
        </is>
      </c>
      <c r="D306" s="653" t="n"/>
      <c r="E306" s="654" t="n"/>
      <c r="F306" s="896" t="inlineStr">
        <is>
          <t>使用量</t>
        </is>
      </c>
      <c r="G306" s="906" t="n"/>
      <c r="H306" s="905" t="n"/>
      <c r="I306" s="905" t="n"/>
      <c r="J306" s="905" t="n"/>
      <c r="K306" s="905" t="n"/>
      <c r="M306" s="891" t="n"/>
      <c r="N306" s="891" t="n"/>
      <c r="O306" s="891" t="n"/>
      <c r="P306" s="892" t="n"/>
    </row>
    <row r="307" ht="17.25" customHeight="1" s="614">
      <c r="A307" s="780" t="n"/>
      <c r="B307" s="780" t="n"/>
      <c r="C307" s="912" t="inlineStr">
        <is>
          <t>動力制御盤2</t>
        </is>
      </c>
      <c r="D307" s="639" t="n"/>
      <c r="E307" s="640" t="n"/>
      <c r="F307" s="923" t="inlineStr">
        <is>
          <t>読み</t>
        </is>
      </c>
      <c r="G307" s="925" t="n"/>
      <c r="H307" s="924" t="n"/>
      <c r="I307" s="924" t="n"/>
      <c r="J307" s="924" t="n"/>
      <c r="K307" s="924" t="n"/>
      <c r="M307" s="891" t="n"/>
      <c r="N307" s="891" t="n"/>
      <c r="O307" s="891" t="n"/>
      <c r="P307" s="892" t="n"/>
    </row>
    <row r="308" ht="17.25" customHeight="1" s="614">
      <c r="A308" s="780" t="n"/>
      <c r="B308" s="780" t="n"/>
      <c r="C308" s="835" t="inlineStr">
        <is>
          <t>（×１ｋｗｈ）</t>
        </is>
      </c>
      <c r="D308" s="653" t="n"/>
      <c r="E308" s="654" t="n"/>
      <c r="F308" s="896" t="inlineStr">
        <is>
          <t>使用量</t>
        </is>
      </c>
      <c r="G308" s="906" t="n"/>
      <c r="H308" s="905" t="n"/>
      <c r="I308" s="905" t="n"/>
      <c r="J308" s="905" t="n"/>
      <c r="K308" s="905" t="n"/>
      <c r="M308" s="891" t="n"/>
      <c r="N308" s="891" t="n"/>
      <c r="O308" s="891" t="n"/>
      <c r="P308" s="892" t="n"/>
    </row>
    <row r="309" ht="17.25" customHeight="1" s="614">
      <c r="A309" s="780" t="n"/>
      <c r="B309" s="780" t="n"/>
      <c r="C309" s="912" t="inlineStr">
        <is>
          <t>動力制御盤3</t>
        </is>
      </c>
      <c r="D309" s="639" t="n"/>
      <c r="E309" s="640" t="n"/>
      <c r="F309" s="923" t="inlineStr">
        <is>
          <t>読み</t>
        </is>
      </c>
      <c r="G309" s="918" t="n"/>
      <c r="H309" s="917" t="n"/>
      <c r="I309" s="917" t="n"/>
      <c r="J309" s="917" t="n"/>
      <c r="K309" s="917" t="n"/>
      <c r="M309" s="891" t="n"/>
      <c r="N309" s="891" t="n"/>
      <c r="O309" s="891" t="n"/>
      <c r="P309" s="892" t="n"/>
    </row>
    <row r="310" ht="17.25" customHeight="1" s="614">
      <c r="A310" s="780" t="n"/>
      <c r="B310" s="780" t="n"/>
      <c r="C310" s="835" t="inlineStr">
        <is>
          <t>（×１ｋｗｈ）</t>
        </is>
      </c>
      <c r="D310" s="653" t="n"/>
      <c r="E310" s="654" t="n"/>
      <c r="F310" s="896" t="inlineStr">
        <is>
          <t>使用量</t>
        </is>
      </c>
      <c r="G310" s="906" t="n"/>
      <c r="H310" s="905" t="n"/>
      <c r="I310" s="905" t="n"/>
      <c r="J310" s="905" t="n"/>
      <c r="K310" s="905" t="n"/>
      <c r="M310" s="891" t="n"/>
      <c r="N310" s="891" t="n"/>
      <c r="O310" s="891" t="n"/>
      <c r="P310" s="892" t="n"/>
    </row>
    <row r="311" ht="17.25" customHeight="1" s="614">
      <c r="A311" s="780" t="n"/>
      <c r="B311" s="780" t="n"/>
      <c r="C311" s="912" t="inlineStr">
        <is>
          <t>動力制御盤4</t>
        </is>
      </c>
      <c r="D311" s="639" t="n"/>
      <c r="E311" s="640" t="n"/>
      <c r="F311" s="923" t="inlineStr">
        <is>
          <t>読み</t>
        </is>
      </c>
      <c r="G311" s="928" t="n"/>
      <c r="H311" s="927" t="n"/>
      <c r="I311" s="927" t="n"/>
      <c r="J311" s="927" t="n"/>
      <c r="K311" s="927" t="n"/>
      <c r="M311" s="891" t="n"/>
      <c r="N311" s="891" t="n"/>
      <c r="O311" s="891" t="n"/>
      <c r="P311" s="892" t="n"/>
    </row>
    <row r="312" ht="17.25" customHeight="1" s="614">
      <c r="A312" s="780" t="n"/>
      <c r="B312" s="780" t="n"/>
      <c r="C312" s="835" t="inlineStr">
        <is>
          <t>（×１ｋｗｈ）</t>
        </is>
      </c>
      <c r="D312" s="653" t="n"/>
      <c r="E312" s="654" t="n"/>
      <c r="F312" s="896" t="inlineStr">
        <is>
          <t>使用量</t>
        </is>
      </c>
      <c r="G312" s="929" t="n"/>
      <c r="H312" s="897" t="n"/>
      <c r="I312" s="897" t="n"/>
      <c r="J312" s="897" t="n"/>
      <c r="K312" s="897" t="n"/>
      <c r="M312" s="891" t="n"/>
      <c r="N312" s="891" t="n"/>
      <c r="O312" s="891" t="n"/>
      <c r="P312" s="892" t="n"/>
    </row>
    <row r="313" ht="17.25" customHeight="1" s="614">
      <c r="A313" s="780" t="n"/>
      <c r="B313" s="780" t="n"/>
      <c r="C313" s="930" t="inlineStr">
        <is>
          <t>No.１　コンデンサー(電磁接触器)</t>
        </is>
      </c>
      <c r="D313" s="626" t="n"/>
      <c r="E313" s="627" t="n"/>
      <c r="F313" s="767" t="inlineStr">
        <is>
          <t>切/入</t>
        </is>
      </c>
      <c r="G313" s="767" t="n"/>
      <c r="H313" s="874" t="n"/>
      <c r="I313" s="874" t="n"/>
      <c r="J313" s="874" t="n"/>
      <c r="K313" s="874" t="n"/>
      <c r="M313" s="904" t="n"/>
      <c r="N313" s="904" t="n"/>
      <c r="O313" s="891" t="n"/>
      <c r="P313" s="892" t="n"/>
    </row>
    <row r="314" ht="17.25" customHeight="1" s="614">
      <c r="A314" s="780" t="n"/>
      <c r="B314" s="780" t="n"/>
      <c r="C314" s="930" t="inlineStr">
        <is>
          <t>No.２　コンデンサー(電磁接触器)</t>
        </is>
      </c>
      <c r="D314" s="626" t="n"/>
      <c r="E314" s="627" t="n"/>
      <c r="F314" s="767" t="inlineStr">
        <is>
          <t>切/入</t>
        </is>
      </c>
      <c r="G314" s="767" t="n"/>
      <c r="H314" s="874" t="n"/>
      <c r="I314" s="767" t="n"/>
      <c r="J314" s="767" t="n"/>
      <c r="K314" s="767" t="n"/>
      <c r="M314" s="891" t="n"/>
      <c r="N314" s="891" t="n"/>
      <c r="O314" s="891" t="n"/>
      <c r="P314" s="892" t="n"/>
    </row>
    <row r="315" ht="17.25" customHeight="1" s="614">
      <c r="A315" s="769" t="n"/>
      <c r="B315" s="769" t="n"/>
      <c r="C315" s="930" t="inlineStr">
        <is>
          <t>No.３　コンデンサー(電磁接触器)</t>
        </is>
      </c>
      <c r="D315" s="626" t="n"/>
      <c r="E315" s="627" t="n"/>
      <c r="F315" s="767" t="inlineStr">
        <is>
          <t>切/入</t>
        </is>
      </c>
      <c r="G315" s="767" t="n"/>
      <c r="H315" s="874" t="n"/>
      <c r="I315" s="874" t="n"/>
      <c r="J315" s="874" t="n"/>
      <c r="K315" s="874" t="n"/>
      <c r="M315" s="891" t="n"/>
      <c r="N315" s="891" t="n"/>
      <c r="O315" s="891" t="n"/>
      <c r="P315" s="892" t="n"/>
    </row>
    <row r="316" ht="13.5" customHeight="1" s="614">
      <c r="A316" s="931" t="inlineStr">
        <is>
          <t>備　考</t>
        </is>
      </c>
      <c r="B316" s="930" t="n"/>
      <c r="C316" s="639" t="n"/>
      <c r="D316" s="639" t="n"/>
      <c r="E316" s="639" t="n"/>
      <c r="F316" s="639" t="n"/>
      <c r="G316" s="639" t="n"/>
      <c r="H316" s="639" t="n"/>
      <c r="I316" s="639" t="n"/>
      <c r="J316" s="639" t="n"/>
      <c r="K316" s="640" t="n"/>
      <c r="M316" s="891" t="n"/>
      <c r="N316" s="891" t="n"/>
      <c r="O316" s="891" t="n"/>
      <c r="P316" s="892" t="n"/>
    </row>
    <row r="317" ht="13.5" customHeight="1" s="614">
      <c r="A317" s="780" t="n"/>
      <c r="B317" s="668" t="n"/>
      <c r="K317" s="647" t="n"/>
      <c r="M317" s="891" t="n"/>
      <c r="N317" s="891" t="n"/>
      <c r="O317" s="891" t="n"/>
      <c r="P317" s="892" t="n"/>
    </row>
    <row r="318" ht="13.5" customHeight="1" s="614">
      <c r="A318" s="769" t="n"/>
      <c r="B318" s="657" t="n"/>
      <c r="C318" s="653" t="n"/>
      <c r="D318" s="653" t="n"/>
      <c r="E318" s="653" t="n"/>
      <c r="F318" s="653" t="n"/>
      <c r="G318" s="653" t="n"/>
      <c r="H318" s="653" t="n"/>
      <c r="I318" s="653" t="n"/>
      <c r="J318" s="653" t="n"/>
      <c r="K318" s="654" t="n"/>
      <c r="M318" s="891" t="n"/>
      <c r="N318" s="891" t="n"/>
      <c r="O318" s="891" t="n"/>
      <c r="P318" s="892" t="n"/>
    </row>
    <row r="319" ht="21" customHeight="1" s="614">
      <c r="A319" s="764" t="inlineStr">
        <is>
          <t xml:space="preserve">　電気設備日常点検（２/２）</t>
        </is>
      </c>
      <c r="M319" s="891" t="n"/>
      <c r="N319" s="891" t="n"/>
      <c r="O319" s="891" t="n"/>
      <c r="P319" s="892" t="n"/>
    </row>
    <row r="320" ht="16.5" customHeight="1" s="614">
      <c r="A320" s="932" t="n"/>
      <c r="B320" s="767" t="inlineStr">
        <is>
          <t>機器名</t>
        </is>
      </c>
      <c r="C320" s="640" t="n"/>
      <c r="D320" s="767" t="inlineStr">
        <is>
          <t>点　　検　　者　　氏　　名</t>
        </is>
      </c>
      <c r="E320" s="626" t="n"/>
      <c r="F320" s="627" t="n"/>
      <c r="G320" s="767" t="n"/>
      <c r="H320" s="874" t="n"/>
      <c r="I320" s="874" t="n"/>
      <c r="J320" s="874" t="n"/>
      <c r="K320" s="874" t="n"/>
      <c r="M320" s="891" t="n"/>
      <c r="N320" s="891" t="n"/>
      <c r="O320" s="891" t="n"/>
      <c r="P320" s="892" t="n"/>
    </row>
    <row r="321" ht="16.5" customHeight="1" s="614">
      <c r="A321" s="769" t="n"/>
      <c r="B321" s="657" t="n"/>
      <c r="C321" s="654" t="n"/>
      <c r="D321" s="767" t="inlineStr">
        <is>
          <t>点　　　検　　　内　　　容</t>
        </is>
      </c>
      <c r="E321" s="626" t="n"/>
      <c r="F321" s="627" t="n"/>
      <c r="G321" s="771" t="n"/>
      <c r="H321" s="875" t="n"/>
      <c r="I321" s="875" t="n"/>
      <c r="J321" s="875" t="n"/>
      <c r="K321" s="875" t="n"/>
      <c r="M321" s="891" t="n"/>
      <c r="N321" s="891" t="n"/>
      <c r="O321" s="891" t="n"/>
      <c r="P321" s="892" t="n"/>
    </row>
    <row r="322" ht="15.75" customHeight="1" s="614">
      <c r="A322" s="893" t="inlineStr">
        <is>
          <t>計　　　　　装　　　　　設　　　　　備</t>
        </is>
      </c>
      <c r="B322" s="878" t="inlineStr">
        <is>
          <t>ポンプ井
水位計</t>
        </is>
      </c>
      <c r="C322" s="640" t="n"/>
      <c r="D322" s="849" t="inlineStr">
        <is>
          <t>外観の確認</t>
        </is>
      </c>
      <c r="E322" s="639" t="n"/>
      <c r="G322" s="804" t="n"/>
      <c r="H322" s="895" t="n"/>
      <c r="I322" s="895" t="n"/>
      <c r="J322" s="895" t="n"/>
      <c r="K322" s="895" t="n"/>
      <c r="M322" s="891" t="n"/>
      <c r="N322" s="891" t="n"/>
      <c r="O322" s="891" t="n"/>
      <c r="P322" s="892" t="n"/>
    </row>
    <row r="323" ht="15.75" customHeight="1" s="614">
      <c r="A323" s="780" t="n"/>
      <c r="B323" s="668" t="n"/>
      <c r="C323" s="647" t="n"/>
      <c r="D323" s="1007" t="inlineStr">
        <is>
          <t>指示状況の確認</t>
        </is>
      </c>
      <c r="E323" s="672" t="n"/>
      <c r="F323" s="935" t="n"/>
      <c r="G323" s="936" t="n"/>
      <c r="H323" s="985" t="n"/>
      <c r="I323" s="985" t="n"/>
      <c r="J323" s="985" t="n"/>
      <c r="K323" s="985" t="n"/>
      <c r="M323" s="891" t="n"/>
      <c r="N323" s="891" t="n"/>
      <c r="O323" s="891" t="n"/>
      <c r="P323" s="892" t="n"/>
    </row>
    <row r="324" ht="15.75" customHeight="1" s="614">
      <c r="A324" s="780" t="n"/>
      <c r="B324" s="657" t="n"/>
      <c r="C324" s="654" t="n"/>
      <c r="D324" s="820" t="inlineStr">
        <is>
          <t>計器読み</t>
        </is>
      </c>
      <c r="F324" s="939" t="inlineStr">
        <is>
          <t>ｍ</t>
        </is>
      </c>
      <c r="G324" s="940" t="n"/>
      <c r="H324" s="986" t="n"/>
      <c r="I324" s="986" t="n"/>
      <c r="J324" s="986" t="n"/>
      <c r="K324" s="986" t="n"/>
      <c r="M324" s="891" t="n"/>
      <c r="N324" s="891" t="n"/>
      <c r="O324" s="891" t="n"/>
      <c r="P324" s="892" t="n"/>
    </row>
    <row r="325" ht="15.75" customHeight="1" s="614">
      <c r="A325" s="780" t="n"/>
      <c r="B325" s="941" t="inlineStr">
        <is>
          <t>Nｏ．１オキシデーションディッチＤＯ計</t>
        </is>
      </c>
      <c r="C325" s="640" t="n"/>
      <c r="D325" s="942" t="inlineStr">
        <is>
          <t>外観の確認</t>
        </is>
      </c>
      <c r="E325" s="688" t="n"/>
      <c r="F325" s="943" t="n"/>
      <c r="G325" s="804" t="n"/>
      <c r="H325" s="895" t="n"/>
      <c r="I325" s="895" t="n"/>
      <c r="J325" s="895" t="n"/>
      <c r="K325" s="895" t="n"/>
      <c r="M325" s="891" t="n"/>
      <c r="N325" s="891" t="n"/>
      <c r="O325" s="891" t="n"/>
      <c r="P325" s="892" t="n"/>
    </row>
    <row r="326" ht="15.75" customHeight="1" s="614">
      <c r="A326" s="780" t="n"/>
      <c r="B326" s="668" t="n"/>
      <c r="C326" s="647" t="n"/>
      <c r="D326" s="1008" t="inlineStr">
        <is>
          <t>指示状況の確認</t>
        </is>
      </c>
      <c r="E326" s="1009" t="n"/>
      <c r="F326" s="946" t="n"/>
      <c r="G326" s="936" t="n"/>
      <c r="H326" s="985" t="n"/>
      <c r="I326" s="985" t="n"/>
      <c r="J326" s="985" t="n"/>
      <c r="K326" s="985" t="n"/>
    </row>
    <row r="327" ht="15.75" customHeight="1" s="614">
      <c r="A327" s="780" t="n"/>
      <c r="B327" s="657" t="n"/>
      <c r="C327" s="654" t="n"/>
      <c r="D327" s="947" t="inlineStr">
        <is>
          <t>ＤＯ値</t>
        </is>
      </c>
      <c r="E327" s="692" t="n"/>
      <c r="F327" s="948" t="inlineStr">
        <is>
          <t>㎎/ℓ</t>
        </is>
      </c>
      <c r="G327" s="949" t="n"/>
      <c r="H327" s="987" t="n"/>
      <c r="I327" s="987" t="n"/>
      <c r="J327" s="987" t="n"/>
      <c r="K327" s="987" t="n"/>
    </row>
    <row r="328" ht="15.75" customHeight="1" s="614">
      <c r="A328" s="780" t="n"/>
      <c r="B328" s="772" t="inlineStr">
        <is>
          <t>返送汚泥流量計</t>
        </is>
      </c>
      <c r="C328" s="640" t="n"/>
      <c r="D328" s="942" t="inlineStr">
        <is>
          <t>外観の確認</t>
        </is>
      </c>
      <c r="E328" s="688" t="n"/>
      <c r="F328" s="950" t="n"/>
      <c r="G328" s="804" t="n"/>
      <c r="H328" s="895" t="n"/>
      <c r="I328" s="895" t="n"/>
      <c r="J328" s="895" t="n"/>
      <c r="K328" s="895" t="n"/>
    </row>
    <row r="329" ht="15.75" customHeight="1" s="614">
      <c r="A329" s="780" t="n"/>
      <c r="B329" s="668" t="n"/>
      <c r="C329" s="647" t="n"/>
      <c r="D329" s="944" t="inlineStr">
        <is>
          <t>指示状況の確認</t>
        </is>
      </c>
      <c r="E329" s="945" t="n"/>
      <c r="F329" s="952" t="n"/>
      <c r="G329" s="936" t="n"/>
      <c r="H329" s="985" t="n"/>
      <c r="I329" s="985" t="n"/>
      <c r="J329" s="985" t="n"/>
      <c r="K329" s="985" t="n"/>
    </row>
    <row r="330" ht="15.75" customHeight="1" s="614">
      <c r="A330" s="780" t="n"/>
      <c r="B330" s="668" t="n"/>
      <c r="C330" s="647" t="n"/>
      <c r="D330" s="944" t="inlineStr">
        <is>
          <t>流量計の読み</t>
        </is>
      </c>
      <c r="E330" s="945" t="n"/>
      <c r="F330" s="952" t="inlineStr">
        <is>
          <t>㎥/ｈ</t>
        </is>
      </c>
      <c r="G330" s="988" t="n"/>
      <c r="H330" s="953" t="n"/>
      <c r="I330" s="953" t="n"/>
      <c r="J330" s="953" t="n"/>
      <c r="K330" s="953" t="n"/>
    </row>
    <row r="331" ht="15.75" customHeight="1" s="614">
      <c r="A331" s="780" t="n"/>
      <c r="B331" s="657" t="n"/>
      <c r="C331" s="654" t="n"/>
      <c r="D331" s="947" t="inlineStr">
        <is>
          <t>流量計積算計読み</t>
        </is>
      </c>
      <c r="E331" s="692" t="n"/>
      <c r="F331" s="954" t="inlineStr">
        <is>
          <t>㎥</t>
        </is>
      </c>
      <c r="G331" s="966" t="n"/>
      <c r="H331" s="966" t="n"/>
      <c r="I331" s="966" t="n"/>
      <c r="J331" s="966" t="n"/>
      <c r="K331" s="966" t="n"/>
    </row>
    <row r="332" ht="15.75" customHeight="1" s="614">
      <c r="A332" s="780" t="n"/>
      <c r="B332" s="772" t="inlineStr">
        <is>
          <t>余剰汚泥流量計</t>
        </is>
      </c>
      <c r="C332" s="640" t="n"/>
      <c r="D332" s="942" t="inlineStr">
        <is>
          <t>外観の確認</t>
        </is>
      </c>
      <c r="E332" s="688" t="n"/>
      <c r="F332" s="943" t="n"/>
      <c r="G332" s="928" t="n"/>
      <c r="H332" s="927" t="n"/>
      <c r="I332" s="927" t="n"/>
      <c r="J332" s="927" t="n"/>
      <c r="K332" s="927" t="n"/>
    </row>
    <row r="333" ht="15.75" customHeight="1" s="614">
      <c r="A333" s="780" t="n"/>
      <c r="B333" s="668" t="n"/>
      <c r="C333" s="647" t="n"/>
      <c r="D333" s="944" t="inlineStr">
        <is>
          <t>指示状況の確認</t>
        </is>
      </c>
      <c r="E333" s="945" t="n"/>
      <c r="F333" s="960" t="n"/>
      <c r="G333" s="958" t="n"/>
      <c r="H333" s="989" t="n"/>
      <c r="I333" s="989" t="n"/>
      <c r="J333" s="989" t="n"/>
      <c r="K333" s="989" t="n"/>
    </row>
    <row r="334" ht="15.75" customHeight="1" s="614">
      <c r="A334" s="780" t="n"/>
      <c r="B334" s="668" t="n"/>
      <c r="C334" s="647" t="n"/>
      <c r="D334" s="959" t="inlineStr">
        <is>
          <t>No.１余剰汚泥ポンプ流量計読み</t>
        </is>
      </c>
      <c r="E334" s="945" t="n"/>
      <c r="F334" s="960" t="inlineStr">
        <is>
          <t>㎥/ｈ</t>
        </is>
      </c>
      <c r="G334" s="961" t="n"/>
      <c r="H334" s="990" t="n"/>
      <c r="I334" s="990" t="n"/>
      <c r="J334" s="990" t="n"/>
      <c r="K334" s="990" t="n"/>
    </row>
    <row r="335" ht="15.75" customHeight="1" s="614">
      <c r="A335" s="780" t="n"/>
      <c r="B335" s="657" t="n"/>
      <c r="C335" s="654" t="n"/>
      <c r="D335" s="947" t="inlineStr">
        <is>
          <t>流量計積算読み</t>
        </is>
      </c>
      <c r="E335" s="692" t="n"/>
      <c r="F335" s="962" t="inlineStr">
        <is>
          <t>㎥</t>
        </is>
      </c>
      <c r="G335" s="963" t="n"/>
      <c r="H335" s="963" t="n"/>
      <c r="I335" s="963" t="n"/>
      <c r="J335" s="963" t="n"/>
      <c r="K335" s="963" t="n"/>
    </row>
    <row r="336" ht="15.75" customHeight="1" s="614">
      <c r="A336" s="780" t="n"/>
      <c r="B336" s="772" t="inlineStr">
        <is>
          <t>放流流量計</t>
        </is>
      </c>
      <c r="C336" s="640" t="n"/>
      <c r="D336" s="942" t="inlineStr">
        <is>
          <t>外観の確認</t>
        </is>
      </c>
      <c r="E336" s="688" t="n"/>
      <c r="F336" s="943" t="n"/>
      <c r="G336" s="804" t="n"/>
      <c r="H336" s="895" t="n"/>
      <c r="I336" s="895" t="n"/>
      <c r="J336" s="895" t="n"/>
      <c r="K336" s="895" t="n"/>
    </row>
    <row r="337" ht="15.75" customHeight="1" s="614">
      <c r="A337" s="780" t="n"/>
      <c r="B337" s="668" t="n"/>
      <c r="C337" s="647" t="n"/>
      <c r="D337" s="944" t="inlineStr">
        <is>
          <t>指示状況の確認</t>
        </is>
      </c>
      <c r="E337" s="945" t="n"/>
      <c r="F337" s="960" t="n"/>
      <c r="G337" s="936" t="n"/>
      <c r="H337" s="985" t="n"/>
      <c r="I337" s="985" t="n"/>
      <c r="J337" s="985" t="n"/>
      <c r="K337" s="985" t="n"/>
    </row>
    <row r="338" ht="15.75" customHeight="1" s="614">
      <c r="A338" s="780" t="n"/>
      <c r="B338" s="668" t="n"/>
      <c r="C338" s="647" t="n"/>
      <c r="D338" s="944" t="inlineStr">
        <is>
          <t>流量計の読み</t>
        </is>
      </c>
      <c r="E338" s="945" t="n"/>
      <c r="F338" s="960" t="inlineStr">
        <is>
          <t>㎥/ｈ</t>
        </is>
      </c>
      <c r="G338" s="988" t="n"/>
      <c r="H338" s="953" t="n"/>
      <c r="I338" s="953" t="n"/>
      <c r="J338" s="953" t="n"/>
      <c r="K338" s="953" t="n"/>
    </row>
    <row r="339" ht="15.75" customHeight="1" s="614">
      <c r="A339" s="780" t="n"/>
      <c r="B339" s="657" t="n"/>
      <c r="C339" s="654" t="n"/>
      <c r="D339" s="947" t="inlineStr">
        <is>
          <t>流量計積算の読み</t>
        </is>
      </c>
      <c r="E339" s="692" t="n"/>
      <c r="F339" s="962" t="inlineStr">
        <is>
          <t>㎥</t>
        </is>
      </c>
      <c r="G339" s="966" t="n"/>
      <c r="H339" s="966" t="n"/>
      <c r="I339" s="966" t="n"/>
      <c r="J339" s="966" t="n"/>
      <c r="K339" s="966" t="n"/>
    </row>
    <row r="340" ht="15.75" customHeight="1" s="614">
      <c r="A340" s="780" t="n"/>
      <c r="B340" s="967" t="inlineStr">
        <is>
          <t>汚濁負荷量計</t>
        </is>
      </c>
      <c r="C340" s="640" t="n"/>
      <c r="D340" s="942" t="inlineStr">
        <is>
          <t>外観の確認</t>
        </is>
      </c>
      <c r="E340" s="688" t="n"/>
      <c r="F340" s="943" t="n"/>
      <c r="G340" s="928" t="n"/>
      <c r="H340" s="927" t="n"/>
      <c r="I340" s="927" t="n"/>
      <c r="J340" s="927" t="n"/>
      <c r="K340" s="927" t="n"/>
    </row>
    <row r="341" ht="15.75" customHeight="1" s="614">
      <c r="A341" s="780" t="n"/>
      <c r="B341" s="668" t="n"/>
      <c r="C341" s="647" t="n"/>
      <c r="D341" s="944" t="inlineStr">
        <is>
          <t>指示状況の確認</t>
        </is>
      </c>
      <c r="E341" s="945" t="n"/>
      <c r="F341" s="960" t="n"/>
      <c r="G341" s="968" t="n"/>
      <c r="H341" s="920" t="n"/>
      <c r="I341" s="920" t="n"/>
      <c r="J341" s="920" t="n"/>
      <c r="K341" s="920" t="n"/>
    </row>
    <row r="342" ht="15.75" customHeight="1" s="614">
      <c r="A342" s="780" t="n"/>
      <c r="B342" s="969" t="inlineStr">
        <is>
          <t>（放流水ＵＶ）</t>
        </is>
      </c>
      <c r="C342" s="647" t="n"/>
      <c r="D342" s="944" t="inlineStr">
        <is>
          <t>ＵＶ値</t>
        </is>
      </c>
      <c r="E342" s="945" t="n"/>
      <c r="F342" s="970" t="inlineStr">
        <is>
          <t>Abs</t>
        </is>
      </c>
      <c r="G342" s="971" t="n"/>
      <c r="H342" s="971" t="n"/>
      <c r="I342" s="971" t="n"/>
      <c r="J342" s="971" t="n"/>
      <c r="K342" s="971" t="n"/>
    </row>
    <row r="343" ht="15.75" customHeight="1" s="614">
      <c r="A343" s="780" t="n"/>
      <c r="B343" s="657" t="n"/>
      <c r="C343" s="654" t="n"/>
      <c r="D343" s="947" t="inlineStr">
        <is>
          <t>ＣＯＤ値</t>
        </is>
      </c>
      <c r="E343" s="692" t="n"/>
      <c r="F343" s="962" t="inlineStr">
        <is>
          <t>㎎/ℓ</t>
        </is>
      </c>
      <c r="G343" s="972" t="n"/>
      <c r="H343" s="994" t="n"/>
      <c r="I343" s="994" t="n"/>
      <c r="J343" s="994" t="n"/>
      <c r="K343" s="994" t="n"/>
    </row>
    <row r="344" ht="15.75" customHeight="1" s="614">
      <c r="A344" s="780" t="n"/>
      <c r="B344" s="772" t="inlineStr">
        <is>
          <t>全窒素・全燐計</t>
        </is>
      </c>
      <c r="C344" s="640" t="n"/>
      <c r="D344" s="942" t="inlineStr">
        <is>
          <t>外観の確認</t>
        </is>
      </c>
      <c r="E344" s="688" t="n"/>
      <c r="F344" s="943" t="n"/>
      <c r="G344" s="804" t="n"/>
      <c r="H344" s="895" t="n"/>
      <c r="I344" s="895" t="n"/>
      <c r="J344" s="895" t="n"/>
      <c r="K344" s="895" t="n"/>
    </row>
    <row r="345" ht="15.75" customHeight="1" s="614">
      <c r="A345" s="780" t="n"/>
      <c r="B345" s="668" t="n"/>
      <c r="C345" s="647" t="n"/>
      <c r="D345" s="944" t="inlineStr">
        <is>
          <t>指示状況の確認</t>
        </is>
      </c>
      <c r="E345" s="945" t="n"/>
      <c r="F345" s="960" t="n"/>
      <c r="G345" s="936" t="n"/>
      <c r="H345" s="985" t="n"/>
      <c r="I345" s="985" t="n"/>
      <c r="J345" s="985" t="n"/>
      <c r="K345" s="985" t="n"/>
    </row>
    <row r="346" ht="15.75" customHeight="1" s="614">
      <c r="A346" s="780" t="n"/>
      <c r="B346" s="668" t="n"/>
      <c r="C346" s="647" t="n"/>
      <c r="D346" s="944" t="inlineStr">
        <is>
          <t>計器読み（全窒素）</t>
        </is>
      </c>
      <c r="E346" s="945" t="n"/>
      <c r="F346" s="960" t="inlineStr">
        <is>
          <t>㎎/ℓ</t>
        </is>
      </c>
      <c r="G346" s="973" t="n"/>
      <c r="H346" s="995" t="n"/>
      <c r="I346" s="995" t="n"/>
      <c r="J346" s="995" t="n"/>
      <c r="K346" s="995" t="n"/>
    </row>
    <row r="347" ht="15.75" customHeight="1" s="614">
      <c r="A347" s="780" t="n"/>
      <c r="B347" s="657" t="n"/>
      <c r="C347" s="654" t="n"/>
      <c r="D347" s="947" t="inlineStr">
        <is>
          <t>計器読み（全りん）</t>
        </is>
      </c>
      <c r="E347" s="692" t="n"/>
      <c r="F347" s="948" t="inlineStr">
        <is>
          <t>㎎/ℓ</t>
        </is>
      </c>
      <c r="G347" s="972" t="n"/>
      <c r="H347" s="994" t="n"/>
      <c r="I347" s="994" t="n"/>
      <c r="J347" s="994" t="n"/>
      <c r="K347" s="994" t="n"/>
    </row>
    <row r="348" ht="15.75" customHeight="1" s="614">
      <c r="A348" s="780" t="n"/>
      <c r="B348" s="878" t="inlineStr">
        <is>
          <t>圧力式液位計</t>
        </is>
      </c>
      <c r="C348" s="640" t="n"/>
      <c r="D348" s="942" t="inlineStr">
        <is>
          <t>外観の確認</t>
        </is>
      </c>
      <c r="E348" s="974" t="n"/>
      <c r="F348" s="943" t="n"/>
      <c r="G348" s="804" t="n"/>
      <c r="H348" s="895" t="n"/>
      <c r="I348" s="895" t="n"/>
      <c r="J348" s="895" t="n"/>
      <c r="K348" s="895" t="n"/>
    </row>
    <row r="349" ht="15.75" customHeight="1" s="614">
      <c r="A349" s="780" t="n"/>
      <c r="B349" s="668" t="n"/>
      <c r="C349" s="647" t="n"/>
      <c r="D349" s="944" t="inlineStr">
        <is>
          <t>指示状況の確認</t>
        </is>
      </c>
      <c r="E349" s="975" t="n"/>
      <c r="F349" s="960" t="n"/>
      <c r="G349" s="936" t="n"/>
      <c r="H349" s="985" t="n"/>
      <c r="I349" s="985" t="n"/>
      <c r="J349" s="985" t="n"/>
      <c r="K349" s="985" t="n"/>
    </row>
    <row r="350" ht="15.75" customHeight="1" s="614">
      <c r="A350" s="769" t="n"/>
      <c r="B350" s="657" t="n"/>
      <c r="C350" s="654" t="n"/>
      <c r="D350" s="947" t="inlineStr">
        <is>
          <t>機器指示地の記録</t>
        </is>
      </c>
      <c r="E350" s="976" t="n"/>
      <c r="F350" s="948" t="inlineStr">
        <is>
          <t>ｍ</t>
        </is>
      </c>
      <c r="G350" s="940" t="n"/>
      <c r="H350" s="986" t="n"/>
      <c r="I350" s="986" t="n"/>
      <c r="J350" s="986" t="n"/>
      <c r="K350" s="986" t="n"/>
    </row>
    <row r="351" ht="15.75" customHeight="1" s="614">
      <c r="A351" s="1013" t="inlineStr">
        <is>
          <t>発電機設備</t>
        </is>
      </c>
      <c r="B351" s="832" t="inlineStr">
        <is>
          <t>発電機盤</t>
        </is>
      </c>
      <c r="C351" s="627" t="n"/>
      <c r="D351" s="773" t="inlineStr">
        <is>
          <t>外観の確認</t>
        </is>
      </c>
      <c r="E351" s="626" t="n"/>
      <c r="F351" s="805" t="n"/>
      <c r="G351" s="768" t="n"/>
      <c r="H351" s="921" t="n"/>
      <c r="I351" s="921" t="n"/>
      <c r="J351" s="921" t="n"/>
      <c r="K351" s="921" t="n"/>
    </row>
    <row r="352" ht="15.75" customHeight="1" s="614">
      <c r="A352" s="780" t="n"/>
      <c r="B352" s="832" t="inlineStr">
        <is>
          <t>燃料タンク</t>
        </is>
      </c>
      <c r="C352" s="640" t="n"/>
      <c r="D352" s="942" t="inlineStr">
        <is>
          <t>外観の確認</t>
        </is>
      </c>
      <c r="E352" s="688" t="n"/>
      <c r="F352" s="943" t="n"/>
      <c r="G352" s="804" t="n"/>
      <c r="H352" s="895" t="n"/>
      <c r="I352" s="895" t="n"/>
      <c r="J352" s="895" t="n"/>
      <c r="K352" s="895" t="n"/>
    </row>
    <row r="353" ht="15.75" customHeight="1" s="614">
      <c r="A353" s="780" t="n"/>
      <c r="B353" s="657" t="n"/>
      <c r="C353" s="654" t="n"/>
      <c r="D353" s="947" t="inlineStr">
        <is>
          <t>残量の値</t>
        </is>
      </c>
      <c r="E353" s="692" t="n"/>
      <c r="F353" s="978" t="inlineStr">
        <is>
          <t>ℓ</t>
        </is>
      </c>
      <c r="G353" s="979" t="n"/>
      <c r="H353" s="996" t="n"/>
      <c r="I353" s="996" t="n"/>
      <c r="J353" s="996" t="n"/>
      <c r="K353" s="996" t="n"/>
    </row>
    <row r="354" ht="15.75" customHeight="1" s="614">
      <c r="A354" s="931" t="inlineStr">
        <is>
          <t>他</t>
        </is>
      </c>
      <c r="B354" s="832" t="inlineStr">
        <is>
          <t>通報装置</t>
        </is>
      </c>
      <c r="C354" s="627" t="n"/>
      <c r="D354" s="773" t="inlineStr">
        <is>
          <t>通報状態の確認</t>
        </is>
      </c>
      <c r="E354" s="626" t="n"/>
      <c r="F354" s="805" t="n"/>
      <c r="G354" s="804" t="n"/>
      <c r="H354" s="895" t="n"/>
      <c r="I354" s="895" t="n"/>
      <c r="J354" s="895" t="n"/>
      <c r="K354" s="895" t="n"/>
    </row>
    <row r="355" ht="16.5" customHeight="1" s="614">
      <c r="A355" s="980" t="n"/>
      <c r="B355" s="849" t="inlineStr">
        <is>
          <t>○：良　　△：要注意　　×要修理</t>
        </is>
      </c>
      <c r="C355" s="849" t="n"/>
      <c r="D355" s="849" t="n"/>
      <c r="E355" s="849" t="n"/>
      <c r="F355" s="981" t="n"/>
      <c r="G355" s="981" t="n"/>
      <c r="H355" s="981" t="n"/>
      <c r="I355" s="981" t="n"/>
      <c r="J355" s="981" t="n"/>
      <c r="K355" s="981" t="n"/>
    </row>
  </sheetData>
  <mergeCells count="380">
    <mergeCell ref="D60:E60"/>
    <mergeCell ref="D187:E187"/>
    <mergeCell ref="C242:E242"/>
    <mergeCell ref="B141:C141"/>
    <mergeCell ref="C21:E21"/>
    <mergeCell ref="A145:A173"/>
    <mergeCell ref="D45:E45"/>
    <mergeCell ref="D281:E281"/>
    <mergeCell ref="C244:E244"/>
    <mergeCell ref="C23:E23"/>
    <mergeCell ref="C79:E80"/>
    <mergeCell ref="D70:E70"/>
    <mergeCell ref="D263:E263"/>
    <mergeCell ref="B85:B102"/>
    <mergeCell ref="B344:C347"/>
    <mergeCell ref="C10:E11"/>
    <mergeCell ref="B265:C268"/>
    <mergeCell ref="D134:E134"/>
    <mergeCell ref="D205:E205"/>
    <mergeCell ref="B202:C205"/>
    <mergeCell ref="B273:C276"/>
    <mergeCell ref="D332:E332"/>
    <mergeCell ref="A287:A315"/>
    <mergeCell ref="C309:E309"/>
    <mergeCell ref="C168:E168"/>
    <mergeCell ref="C94:E94"/>
    <mergeCell ref="C311:E311"/>
    <mergeCell ref="C167:E167"/>
    <mergeCell ref="C238:E238"/>
    <mergeCell ref="D131:E131"/>
    <mergeCell ref="D258:E258"/>
    <mergeCell ref="C169:E169"/>
    <mergeCell ref="D124:E124"/>
    <mergeCell ref="D195:E195"/>
    <mergeCell ref="D189:E189"/>
    <mergeCell ref="B269:C270"/>
    <mergeCell ref="C233:E233"/>
    <mergeCell ref="B123:C126"/>
    <mergeCell ref="D126:E126"/>
    <mergeCell ref="D197:E197"/>
    <mergeCell ref="D253:E253"/>
    <mergeCell ref="D53:E53"/>
    <mergeCell ref="D47:E47"/>
    <mergeCell ref="D351:E351"/>
    <mergeCell ref="B320:C321"/>
    <mergeCell ref="C24:E24"/>
    <mergeCell ref="B251:C253"/>
    <mergeCell ref="D129:E129"/>
    <mergeCell ref="C26:E26"/>
    <mergeCell ref="B103:K105"/>
    <mergeCell ref="B109:C111"/>
    <mergeCell ref="D139:E139"/>
    <mergeCell ref="B225:B226"/>
    <mergeCell ref="B340:C341"/>
    <mergeCell ref="B83:B84"/>
    <mergeCell ref="B194:C197"/>
    <mergeCell ref="D259:E259"/>
    <mergeCell ref="D326:E326"/>
    <mergeCell ref="C152:E153"/>
    <mergeCell ref="C235:E235"/>
    <mergeCell ref="B131:C134"/>
    <mergeCell ref="D117:E117"/>
    <mergeCell ref="D55:E55"/>
    <mergeCell ref="D353:E353"/>
    <mergeCell ref="D67:E67"/>
    <mergeCell ref="B206:C208"/>
    <mergeCell ref="D69:E69"/>
    <mergeCell ref="D354:E354"/>
    <mergeCell ref="A251:A279"/>
    <mergeCell ref="A322:A350"/>
    <mergeCell ref="C27:E27"/>
    <mergeCell ref="C76:E76"/>
    <mergeCell ref="A109:A137"/>
    <mergeCell ref="A180:A208"/>
    <mergeCell ref="B257:C260"/>
    <mergeCell ref="C221:E222"/>
    <mergeCell ref="D272:E272"/>
    <mergeCell ref="D210:E210"/>
    <mergeCell ref="D209:E209"/>
    <mergeCell ref="B56:C57"/>
    <mergeCell ref="D274:E274"/>
    <mergeCell ref="B112:C114"/>
    <mergeCell ref="D122:E122"/>
    <mergeCell ref="B348:C350"/>
    <mergeCell ref="A103:A105"/>
    <mergeCell ref="D211:E211"/>
    <mergeCell ref="C223:E224"/>
    <mergeCell ref="C150:E151"/>
    <mergeCell ref="D334:E334"/>
    <mergeCell ref="C287:E288"/>
    <mergeCell ref="B145:B153"/>
    <mergeCell ref="C218:E218"/>
    <mergeCell ref="C81:E82"/>
    <mergeCell ref="B107:C108"/>
    <mergeCell ref="B178:C179"/>
    <mergeCell ref="C158:E159"/>
    <mergeCell ref="D179:F179"/>
    <mergeCell ref="C145:E146"/>
    <mergeCell ref="B342:C343"/>
    <mergeCell ref="D329:E329"/>
    <mergeCell ref="C160:E161"/>
    <mergeCell ref="B198:C199"/>
    <mergeCell ref="D37:F37"/>
    <mergeCell ref="A245:A247"/>
    <mergeCell ref="D141:E141"/>
    <mergeCell ref="C165:E165"/>
    <mergeCell ref="B227:B244"/>
    <mergeCell ref="D255:E255"/>
    <mergeCell ref="C300:E301"/>
    <mergeCell ref="A174:A176"/>
    <mergeCell ref="D322:E322"/>
    <mergeCell ref="D260:E260"/>
    <mergeCell ref="D113:E113"/>
    <mergeCell ref="B64:C66"/>
    <mergeCell ref="D324:E324"/>
    <mergeCell ref="C99:E99"/>
    <mergeCell ref="D115:E115"/>
    <mergeCell ref="D261:E261"/>
    <mergeCell ref="A38:A66"/>
    <mergeCell ref="C296:E296"/>
    <mergeCell ref="D337:E337"/>
    <mergeCell ref="B271:C272"/>
    <mergeCell ref="C290:E291"/>
    <mergeCell ref="B336:C339"/>
    <mergeCell ref="D339:E339"/>
    <mergeCell ref="C154:E154"/>
    <mergeCell ref="C148:E149"/>
    <mergeCell ref="D180:E180"/>
    <mergeCell ref="D118:E118"/>
    <mergeCell ref="D38:E38"/>
    <mergeCell ref="C8:E9"/>
    <mergeCell ref="A107:A108"/>
    <mergeCell ref="B14:B31"/>
    <mergeCell ref="D63:E63"/>
    <mergeCell ref="D321:F321"/>
    <mergeCell ref="D330:E330"/>
    <mergeCell ref="C87:E88"/>
    <mergeCell ref="B245:K247"/>
    <mergeCell ref="B287:B295"/>
    <mergeCell ref="B316:K318"/>
    <mergeCell ref="C3:E4"/>
    <mergeCell ref="C74:E75"/>
    <mergeCell ref="B322:C324"/>
    <mergeCell ref="C18:E19"/>
    <mergeCell ref="D52:E52"/>
    <mergeCell ref="D325:E325"/>
    <mergeCell ref="B129:C130"/>
    <mergeCell ref="D116:E116"/>
    <mergeCell ref="D352:E352"/>
    <mergeCell ref="D327:E327"/>
    <mergeCell ref="A249:A250"/>
    <mergeCell ref="C96:E96"/>
    <mergeCell ref="B261:C264"/>
    <mergeCell ref="D264:E264"/>
    <mergeCell ref="B156:B173"/>
    <mergeCell ref="D178:F178"/>
    <mergeCell ref="C98:E98"/>
    <mergeCell ref="D328:E328"/>
    <mergeCell ref="C225:E225"/>
    <mergeCell ref="B115:C118"/>
    <mergeCell ref="D251:E251"/>
    <mergeCell ref="D36:F36"/>
    <mergeCell ref="C306:E306"/>
    <mergeCell ref="B325:C327"/>
    <mergeCell ref="C162:E162"/>
    <mergeCell ref="D343:E343"/>
    <mergeCell ref="B52:C55"/>
    <mergeCell ref="D182:E182"/>
    <mergeCell ref="B280:C280"/>
    <mergeCell ref="B351:C351"/>
    <mergeCell ref="D109:E109"/>
    <mergeCell ref="D280:E280"/>
    <mergeCell ref="B249:C250"/>
    <mergeCell ref="C93:E93"/>
    <mergeCell ref="C226:E226"/>
    <mergeCell ref="C164:E164"/>
    <mergeCell ref="D345:E345"/>
    <mergeCell ref="D119:E119"/>
    <mergeCell ref="A209:A211"/>
    <mergeCell ref="D190:E190"/>
    <mergeCell ref="D46:E46"/>
    <mergeCell ref="D40:E40"/>
    <mergeCell ref="D111:E111"/>
    <mergeCell ref="D282:E282"/>
    <mergeCell ref="D338:E338"/>
    <mergeCell ref="D183:E183"/>
    <mergeCell ref="A67:A69"/>
    <mergeCell ref="D275:E275"/>
    <mergeCell ref="D340:E340"/>
    <mergeCell ref="D185:E185"/>
    <mergeCell ref="D41:E41"/>
    <mergeCell ref="C89:E90"/>
    <mergeCell ref="B216:B224"/>
    <mergeCell ref="B32:K34"/>
    <mergeCell ref="C240:E240"/>
    <mergeCell ref="B200:C201"/>
    <mergeCell ref="B38:C40"/>
    <mergeCell ref="D43:E43"/>
    <mergeCell ref="B154:B155"/>
    <mergeCell ref="C304:E304"/>
    <mergeCell ref="C83:E83"/>
    <mergeCell ref="B254:C256"/>
    <mergeCell ref="D130:E130"/>
    <mergeCell ref="B332:C335"/>
    <mergeCell ref="D68:E68"/>
    <mergeCell ref="D201:E201"/>
    <mergeCell ref="D335:E335"/>
    <mergeCell ref="A351:A353"/>
    <mergeCell ref="D188:E188"/>
    <mergeCell ref="A316:A318"/>
    <mergeCell ref="D249:F249"/>
    <mergeCell ref="B210:C211"/>
    <mergeCell ref="D132:E132"/>
    <mergeCell ref="D59:E59"/>
    <mergeCell ref="B12:B13"/>
    <mergeCell ref="B68:C69"/>
    <mergeCell ref="B174:K176"/>
    <mergeCell ref="C297:E297"/>
    <mergeCell ref="B60:C63"/>
    <mergeCell ref="B180:C182"/>
    <mergeCell ref="C241:E241"/>
    <mergeCell ref="B67:C67"/>
    <mergeCell ref="B74:B82"/>
    <mergeCell ref="D61:E61"/>
    <mergeCell ref="D254:E254"/>
    <mergeCell ref="D48:E48"/>
    <mergeCell ref="D346:E346"/>
    <mergeCell ref="C243:E243"/>
    <mergeCell ref="D125:E125"/>
    <mergeCell ref="B283:C283"/>
    <mergeCell ref="B354:C354"/>
    <mergeCell ref="D112:E112"/>
    <mergeCell ref="D283:E283"/>
    <mergeCell ref="C307:E307"/>
    <mergeCell ref="C101:E101"/>
    <mergeCell ref="D62:E62"/>
    <mergeCell ref="D56:E56"/>
    <mergeCell ref="D193:E193"/>
    <mergeCell ref="D127:E127"/>
    <mergeCell ref="D347:E347"/>
    <mergeCell ref="D114:E114"/>
    <mergeCell ref="D51:E51"/>
    <mergeCell ref="C20:E20"/>
    <mergeCell ref="C25:E25"/>
    <mergeCell ref="B138:C138"/>
    <mergeCell ref="B209:C209"/>
    <mergeCell ref="D138:E138"/>
    <mergeCell ref="C84:E84"/>
    <mergeCell ref="D203:E203"/>
    <mergeCell ref="C22:E22"/>
    <mergeCell ref="B41:C43"/>
    <mergeCell ref="B48:C51"/>
    <mergeCell ref="B277:C279"/>
    <mergeCell ref="A32:A34"/>
    <mergeCell ref="D140:E140"/>
    <mergeCell ref="D267:E267"/>
    <mergeCell ref="B36:C37"/>
    <mergeCell ref="C14:E15"/>
    <mergeCell ref="D204:E204"/>
    <mergeCell ref="D198:E198"/>
    <mergeCell ref="D269:E269"/>
    <mergeCell ref="C13:E13"/>
    <mergeCell ref="D181:E181"/>
    <mergeCell ref="D273:E273"/>
    <mergeCell ref="C313:E313"/>
    <mergeCell ref="D39:E39"/>
    <mergeCell ref="B183:C185"/>
    <mergeCell ref="B190:C193"/>
    <mergeCell ref="C315:E315"/>
    <mergeCell ref="C173:E173"/>
    <mergeCell ref="D128:E128"/>
    <mergeCell ref="D199:E199"/>
    <mergeCell ref="D186:E186"/>
    <mergeCell ref="C229:E230"/>
    <mergeCell ref="C216:E217"/>
    <mergeCell ref="D194:E194"/>
    <mergeCell ref="C28:E28"/>
    <mergeCell ref="D212:E212"/>
    <mergeCell ref="C92:E92"/>
    <mergeCell ref="C30:E30"/>
    <mergeCell ref="A216:A244"/>
    <mergeCell ref="D320:F320"/>
    <mergeCell ref="D256:E256"/>
    <mergeCell ref="B296:B297"/>
    <mergeCell ref="B135:C137"/>
    <mergeCell ref="B44:C47"/>
    <mergeCell ref="C77:E78"/>
    <mergeCell ref="B281:C282"/>
    <mergeCell ref="C156:E157"/>
    <mergeCell ref="D200:E200"/>
    <mergeCell ref="D202:E202"/>
    <mergeCell ref="D58:E58"/>
    <mergeCell ref="B58:C59"/>
    <mergeCell ref="C219:E220"/>
    <mergeCell ref="C29:E29"/>
    <mergeCell ref="C100:E100"/>
    <mergeCell ref="C31:E31"/>
    <mergeCell ref="B352:C353"/>
    <mergeCell ref="A178:A179"/>
    <mergeCell ref="C298:E299"/>
    <mergeCell ref="C95:E95"/>
    <mergeCell ref="D257:E257"/>
    <mergeCell ref="C91:E91"/>
    <mergeCell ref="C16:E17"/>
    <mergeCell ref="C155:E155"/>
    <mergeCell ref="C227:E228"/>
    <mergeCell ref="A320:A321"/>
    <mergeCell ref="A3:A31"/>
    <mergeCell ref="B212:C212"/>
    <mergeCell ref="D333:E333"/>
    <mergeCell ref="D107:F107"/>
    <mergeCell ref="D270:E270"/>
    <mergeCell ref="C12:E12"/>
    <mergeCell ref="C6:E7"/>
    <mergeCell ref="A280:A282"/>
    <mergeCell ref="C312:E312"/>
    <mergeCell ref="A138:A140"/>
    <mergeCell ref="C85:E86"/>
    <mergeCell ref="C170:E170"/>
    <mergeCell ref="D323:E323"/>
    <mergeCell ref="B3:B11"/>
    <mergeCell ref="D265:E265"/>
    <mergeCell ref="D108:F108"/>
    <mergeCell ref="D252:E252"/>
    <mergeCell ref="C305:E305"/>
    <mergeCell ref="C236:E236"/>
    <mergeCell ref="A36:A37"/>
    <mergeCell ref="C163:E163"/>
    <mergeCell ref="C292:E293"/>
    <mergeCell ref="B119:C122"/>
    <mergeCell ref="D276:E276"/>
    <mergeCell ref="B298:B315"/>
    <mergeCell ref="D341:E341"/>
    <mergeCell ref="B186:C189"/>
    <mergeCell ref="B139:C140"/>
    <mergeCell ref="C294:E295"/>
    <mergeCell ref="D49:E49"/>
    <mergeCell ref="D120:E120"/>
    <mergeCell ref="C231:E232"/>
    <mergeCell ref="C289:E289"/>
    <mergeCell ref="D342:E342"/>
    <mergeCell ref="D336:E336"/>
    <mergeCell ref="D250:F250"/>
    <mergeCell ref="C314:E314"/>
    <mergeCell ref="D196:E196"/>
    <mergeCell ref="C234:E234"/>
    <mergeCell ref="C172:E172"/>
    <mergeCell ref="D133:E133"/>
    <mergeCell ref="D54:E54"/>
    <mergeCell ref="C147:E147"/>
    <mergeCell ref="C171:E171"/>
    <mergeCell ref="D271:E271"/>
    <mergeCell ref="B328:C331"/>
    <mergeCell ref="D191:E191"/>
    <mergeCell ref="A74:A102"/>
    <mergeCell ref="D262:E262"/>
    <mergeCell ref="B127:C128"/>
    <mergeCell ref="B70:C70"/>
    <mergeCell ref="D266:E266"/>
    <mergeCell ref="D331:E331"/>
    <mergeCell ref="D57:E57"/>
    <mergeCell ref="D268:E268"/>
    <mergeCell ref="C237:E237"/>
    <mergeCell ref="C308:E308"/>
    <mergeCell ref="C102:E102"/>
    <mergeCell ref="C302:E303"/>
    <mergeCell ref="D184:E184"/>
    <mergeCell ref="C239:E239"/>
    <mergeCell ref="C310:E310"/>
    <mergeCell ref="C166:E166"/>
    <mergeCell ref="D121:E121"/>
    <mergeCell ref="D192:E192"/>
    <mergeCell ref="C5:E5"/>
    <mergeCell ref="D42:E42"/>
    <mergeCell ref="D344:E344"/>
    <mergeCell ref="C97:E97"/>
    <mergeCell ref="D123:E123"/>
    <mergeCell ref="D50:E50"/>
    <mergeCell ref="D110:E110"/>
    <mergeCell ref="D44:E44"/>
  </mergeCells>
  <dataValidations count="10">
    <dataValidation sqref="G4:K4 G15 G75:K75 G86:K86 G146:K146 G157:K157 G217:K217 G228:K228 G288:K288 G299:K299 I161:K161" showDropDown="0" showInputMessage="0" showErrorMessage="1" allowBlank="1" type="list" errorStyle="stop" operator="between">
      <formula1>$M$75:$O$75</formula1>
      <formula2>0</formula2>
    </dataValidation>
    <dataValidation sqref="G7:K7 G17 G78:K78 G88:K88 G149:K149 G291:K291 G301:K301" showDropDown="0" showInputMessage="0" showErrorMessage="1" allowBlank="1" type="list" errorStyle="stop" operator="between">
      <formula1>$M$78:$O$78</formula1>
      <formula2>0</formula2>
    </dataValidation>
    <dataValidation sqref="G10:K10 G81:K81 G152:K152 G294:K294 H223:K223" showDropDown="0" showInputMessage="0" showErrorMessage="1" allowBlank="1" type="list" errorStyle="stop" operator="between">
      <formula1>$M$81:$N$81</formula1>
      <formula2>0</formula2>
    </dataValidation>
    <dataValidation sqref="G11:K11 G82:K82 G153:K153 G295:K295 H224:K224" showDropDown="0" showInputMessage="0" showErrorMessage="1" allowBlank="1" type="list" errorStyle="stop" operator="between">
      <formula1>$M$82:$N$82</formula1>
      <formula2>0</formula2>
    </dataValidation>
    <dataValidation sqref="G13:K13 G84:K84 G155:K155 G297:K297 H226:K226" showDropDown="0" showInputMessage="0" showErrorMessage="1" allowBlank="1" type="list" errorStyle="stop" operator="between">
      <formula1>$M$84:$N$84</formula1>
      <formula2>0</formula2>
    </dataValidation>
    <dataValidation sqref="G20:K20 G91:K91 G162:K162 G304:K304 H233:K233" showDropDown="0" showInputMessage="0" showErrorMessage="1" allowBlank="1" type="list" errorStyle="stop" operator="between">
      <formula1>$M$91:$N$91</formula1>
      <formula2>0</formula2>
    </dataValidation>
    <dataValidation sqref="G29:K31 G100:K102 G171:K173 G313:K315 H242:K244" showDropDown="0" showInputMessage="0" showErrorMessage="1" allowBlank="1" type="list" errorStyle="stop" operator="between">
      <formula1>$M$100:$N$100</formula1>
      <formula2>0</formula2>
    </dataValidation>
    <dataValidation sqref="G38:K39 G41:K42 G44:K45 G48:K49 G52:K53 G64:K65 G67:K68 G70:K70 G109:K110 G112:K113 G115:K116 G119:K120 G123:K124 G135:K136 G138:K139 G141:K141 G180:K181 G183:K184 G186:K187 G190:K191 G194:K195 G206:K207 G209:K210 G212:K212 G251:K252 G254:K255 G257:K258 G261:K262 G265:K266 G277:K278 G280:K281 G283:K283 G322:K323 G325:K326 G328:K329 G332:K333 G336:K337 G348:K349 G351:K352 G354:K354" showDropDown="0" showInputMessage="0" showErrorMessage="1" allowBlank="1" type="list" errorStyle="stop" operator="between">
      <formula1>$M$109:$O$109</formula1>
      <formula2>0</formula2>
    </dataValidation>
    <dataValidation sqref="G56:K57 G60:K61 G127:K128 G131:K132 G198:K199 G202:K203 G269:K270 G273:K274 G340:K341 G344:K345" showDropDown="0" showInputMessage="0" showErrorMessage="1" allowBlank="1" type="list" errorStyle="stop" operator="between">
      <formula1>$M$109:$P$109</formula1>
      <formula2>0</formula2>
    </dataValidation>
    <dataValidation sqref="G90:K90 G161:H161 G303:K303" showDropDown="0" showInputMessage="0" showErrorMessage="1" allowBlank="1" type="list" errorStyle="stop" operator="between">
      <formula1>$M$150:$O$150</formula1>
      <formula2>0</formula2>
    </dataValidation>
  </dataValidations>
  <printOptions horizontalCentered="1" verticalCentered="1" headings="0" gridLines="0" gridLinesSet="1"/>
  <pageMargins left="0.590277777777778" right="0.590277777777778" top="0.39375" bottom="0.39375" header="0.511811023622047" footer="0.511811023622047"/>
  <pageSetup orientation="landscape" paperSize="9" scale="91" fitToHeight="1" fitToWidth="1" pageOrder="downThenOver" blackAndWhite="0" draft="0" horizontalDpi="300" verticalDpi="300" copies="1"/>
  <rowBreaks count="9" manualBreakCount="9">
    <brk id="34" min="0" max="16383" man="1"/>
    <brk id="71" min="0" max="16383" man="1"/>
    <brk id="105" min="0" max="16383" man="1"/>
    <brk id="142" min="0" max="16383" man="1"/>
    <brk id="176" min="0" max="16383" man="1"/>
    <brk id="213" min="0" max="16383" man="1"/>
    <brk id="247" min="0" max="16383" man="1"/>
    <brk id="284" min="0" max="16383" man="1"/>
    <brk id="318" min="0" max="16383" man="1"/>
  </rowBreaks>
</worksheet>
</file>

<file path=xl/worksheets/sheet4.xml><?xml version="1.0" encoding="utf-8"?>
<worksheet xmlns="http://schemas.openxmlformats.org/spreadsheetml/2006/main">
  <sheetPr filterMode="0">
    <outlinePr summaryBelow="1" summaryRight="1"/>
    <pageSetUpPr fitToPage="0"/>
  </sheetPr>
  <dimension ref="A1:V280"/>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P30" activeCellId="0" sqref="P30"/>
    </sheetView>
  </sheetViews>
  <sheetFormatPr baseColWidth="8" defaultColWidth="9.63671875" defaultRowHeight="12.75" zeroHeight="0" outlineLevelRow="0"/>
  <cols>
    <col width="4.27" customWidth="1" style="613" min="1" max="1"/>
    <col width="3.27" customWidth="1" style="1015" min="2" max="2"/>
    <col width="11.63" customWidth="1" style="613" min="3" max="10"/>
    <col width="9.18" customWidth="1" style="613" min="11" max="11"/>
    <col width="11.63" customWidth="1" style="613" min="12" max="12"/>
    <col width="7.45" customWidth="1" style="613" min="13" max="13"/>
    <col width="11.63" customWidth="1" style="613" min="14" max="14"/>
    <col width="7.18" customWidth="1" style="613" min="15" max="15"/>
    <col width="13.45" customWidth="1" style="613" min="16" max="16"/>
    <col width="9.630000000000001" customWidth="1" style="613" min="17" max="257"/>
  </cols>
  <sheetData>
    <row r="1" ht="30" customHeight="1" s="614">
      <c r="A1" s="1016" t="inlineStr">
        <is>
          <t>加計浄化センター運転管理月報</t>
        </is>
      </c>
      <c r="J1" s="1017">
        <f>水質管理報告!O1</f>
        <v/>
      </c>
    </row>
    <row r="2" ht="13.5" customHeight="1" s="614">
      <c r="A2" s="1018" t="inlineStr">
        <is>
          <t>日付</t>
        </is>
      </c>
      <c r="B2" s="1019" t="inlineStr">
        <is>
          <t>曜日</t>
        </is>
      </c>
      <c r="C2" s="1020" t="inlineStr">
        <is>
          <t>全日電力量読み値</t>
        </is>
      </c>
      <c r="D2" s="1020" t="inlineStr">
        <is>
          <t>力測電力量読み値</t>
        </is>
      </c>
      <c r="E2" s="1020" t="inlineStr">
        <is>
          <t>無効電力量読み値</t>
        </is>
      </c>
      <c r="F2" s="1020" t="inlineStr">
        <is>
          <t>上水使用量読み値</t>
        </is>
      </c>
      <c r="G2" s="1021" t="inlineStr">
        <is>
          <t>固形塩素</t>
        </is>
      </c>
      <c r="H2" s="1021" t="inlineStr">
        <is>
          <t>脱水ケーキ</t>
        </is>
      </c>
      <c r="I2" s="621" t="n"/>
      <c r="J2" s="1022" t="inlineStr">
        <is>
          <t>No.1</t>
        </is>
      </c>
      <c r="K2" s="621" t="n"/>
      <c r="L2" s="1020" t="inlineStr">
        <is>
          <t xml:space="preserve"> 余剰汚泥 流量</t>
        </is>
      </c>
      <c r="M2" s="1023" t="n"/>
      <c r="N2" s="1024" t="inlineStr">
        <is>
          <t xml:space="preserve"> 放流流量</t>
        </is>
      </c>
    </row>
    <row r="3" ht="13.5" customHeight="1" s="614">
      <c r="A3" s="1025" t="n"/>
      <c r="B3" s="780" t="n"/>
      <c r="C3" s="780" t="n"/>
      <c r="D3" s="780" t="n"/>
      <c r="E3" s="780" t="n"/>
      <c r="F3" s="780" t="n"/>
      <c r="G3" s="1026" t="inlineStr">
        <is>
          <t>使用量</t>
        </is>
      </c>
      <c r="H3" s="1026" t="inlineStr">
        <is>
          <t>発生量</t>
        </is>
      </c>
      <c r="I3" s="1026" t="inlineStr">
        <is>
          <t>搬出量</t>
        </is>
      </c>
      <c r="J3" s="1026" t="inlineStr">
        <is>
          <t>返送汚泥</t>
        </is>
      </c>
      <c r="K3" s="627" t="n"/>
      <c r="L3" s="668" t="n"/>
      <c r="M3" s="647" t="n"/>
      <c r="N3" s="1027" t="n"/>
    </row>
    <row r="4" ht="13.5" customHeight="1" s="614">
      <c r="A4" s="1025" t="n"/>
      <c r="B4" s="780" t="n"/>
      <c r="C4" s="769" t="n"/>
      <c r="D4" s="769" t="n"/>
      <c r="E4" s="769" t="n"/>
      <c r="F4" s="769" t="n"/>
      <c r="G4" s="769" t="n"/>
      <c r="H4" s="769" t="n"/>
      <c r="I4" s="769" t="n"/>
      <c r="J4" s="1026" t="inlineStr">
        <is>
          <t>流　　量</t>
        </is>
      </c>
      <c r="K4" s="627" t="n"/>
      <c r="L4" s="657" t="n"/>
      <c r="M4" s="654" t="n"/>
      <c r="N4" s="1028" t="n"/>
    </row>
    <row r="5" ht="15" customHeight="1" s="614">
      <c r="A5" s="1029" t="n"/>
      <c r="B5" s="1030" t="n"/>
      <c r="C5" s="1031" t="inlineStr">
        <is>
          <t>kwh</t>
        </is>
      </c>
      <c r="D5" s="1031" t="inlineStr">
        <is>
          <t>kwh</t>
        </is>
      </c>
      <c r="E5" s="1031" t="inlineStr">
        <is>
          <t>kvarh</t>
        </is>
      </c>
      <c r="F5" s="1032" t="inlineStr">
        <is>
          <t>㎥</t>
        </is>
      </c>
      <c r="G5" s="1031" t="inlineStr">
        <is>
          <t>kg</t>
        </is>
      </c>
      <c r="H5" s="1032" t="inlineStr">
        <is>
          <t>ｔ</t>
        </is>
      </c>
      <c r="I5" s="1032" t="inlineStr">
        <is>
          <t>ｔ</t>
        </is>
      </c>
      <c r="J5" s="1032" t="inlineStr">
        <is>
          <t>㎥</t>
        </is>
      </c>
      <c r="K5" s="1033" t="n"/>
      <c r="L5" s="1032" t="inlineStr">
        <is>
          <t>㎥</t>
        </is>
      </c>
      <c r="M5" s="1033" t="n"/>
      <c r="N5" s="1034" t="inlineStr">
        <is>
          <t>㎥</t>
        </is>
      </c>
      <c r="O5" s="1015" t="n"/>
    </row>
    <row r="6" ht="13.5" customHeight="1" s="614">
      <c r="A6" s="1035">
        <f>IFERROR(IF(AND(ISNUMBER(日常水質!$P$1),YEAR(日常水質!$P$1)&gt;=2000),DATE(YEAR(日常水質!$P$1),MONTH(日常水質!$P$1),1),NA()),IFERROR(IF(AND(ISNUMBER(日常水質!$I$95),YEAR(日常水質!$I$95)&gt;=2000),DATE(YEAR(日常水質!$I$95),MONTH(日常水質!$I$95),1),NA()),IFERROR(IF(AND(ISNUMBER(日常水質!$I$49),YEAR(日常水質!$I$49)&gt;=2000),DATE(YEAR(日常水質!$I$49),MONTH(日常水質!$I$49),1),NA()),IFERROR(IF(AND(ISNUMBER(日常水質!$I$141),YEAR(日常水質!$I$141)&gt;=2000),DATE(YEAR(日常水質!$I$141),MONTH(日常水質!$I$141),1),NA()),IFERROR(IF(AND(ISNUMBER(日常水質!$I$187),YEAR(日常水質!$I$187)&gt;=2000),DATE(YEAR(日常水質!$I$187),MONTH(日常水質!$I$187),1),NA()),IFERROR(IF(AND(ISNUMBER(日常水質!$I$3),YEAR(日常水質!$I$3)&gt;=2000),DATE(YEAR(日常水質!$I$3),MONTH(日常水質!$I$3),1),NA()),""))))))</f>
        <v/>
      </c>
      <c r="B6" s="1036">
        <f>IF(ISNUMBER(A6),A6,"")</f>
        <v/>
      </c>
      <c r="C6" s="1037" t="n"/>
      <c r="D6" s="1038" t="n"/>
      <c r="E6" s="1038" t="n"/>
      <c r="F6" s="1038" t="n"/>
      <c r="G6" s="1039" t="n"/>
      <c r="H6" s="1040" t="n"/>
      <c r="I6" s="1041" t="n"/>
      <c r="J6" s="1042" t="n"/>
      <c r="K6" s="1042" t="n"/>
      <c r="L6" s="1043" t="n"/>
      <c r="M6" s="1043" t="n"/>
      <c r="N6" s="1044" t="n"/>
      <c r="O6" s="1015" t="n"/>
      <c r="P6" s="1045" t="n"/>
      <c r="R6" s="1046" t="n"/>
      <c r="T6" s="1047" t="n"/>
    </row>
    <row r="7" ht="13.5" customHeight="1" s="614">
      <c r="A7" s="1048">
        <f>IF(ISNUMBER(A6),IF(MONTH(A6+1)=MONTH($A$6),A6+1,""),"")</f>
        <v/>
      </c>
      <c r="B7" s="1049">
        <f>IF(ISNUMBER(A7),A7,"")</f>
        <v/>
      </c>
      <c r="C7" s="1050">
        <f>IFERROR(IFERROR(IFERROR(IFERROR(IFERROR(INDEX(日常水質!$I$4:$N$4,MATCH($A7,日常水質!$I$3:$N$3,0)),INDEX(日常水質!$I$50:$N$50,MATCH($A7,日常水質!$I$49:$N$49,0))),INDEX(日常水質!$I$96:$N$96,MATCH($A7,日常水質!$I$95:$N$95,0))),INDEX(日常水質!$I$142:$N$142,MATCH($A7,日常水質!$I$141:$N$141,0))),INDEX(日常水質!$I$188:$N$188,MATCH($A7,日常水質!$I$187:$N$187,0))),"")</f>
        <v/>
      </c>
      <c r="D7" s="1038">
        <f>IFERROR(IFERROR(IFERROR(IFERROR(IFERROR(INDEX(日常水質!$I$5:$N$5,MATCH($A7,日常水質!$I$3:$N$3,0)),INDEX(日常水質!$I$51:$N$51,MATCH($A7,日常水質!$I$49:$N$49,0))),INDEX(日常水質!$I$97:$N$97,MATCH($A7,日常水質!$I$95:$N$95,0))),INDEX(日常水質!$I$143:$N$143,MATCH($A7,日常水質!$I$141:$N$141,0))),INDEX(日常水質!$I$189:$N$189,MATCH($A7,日常水質!$I$187:$N$187,0))),"")</f>
        <v/>
      </c>
      <c r="E7" s="1051">
        <f>IFERROR(IFERROR(IFERROR(IFERROR(IFERROR(INDEX(日常水質!$I$6:$N$6,MATCH($A7,日常水質!$I$3:$N$3,0)),INDEX(日常水質!$I$52:$N$52,MATCH($A7,日常水質!$I$49:$N$49,0))),INDEX(日常水質!$I$98:$N$98,MATCH($A7,日常水質!$I$95:$N$95,0))),INDEX(日常水質!$I$144:$N$144,MATCH($A7,日常水質!$I$141:$N$141,0))),INDEX(日常水質!$I$190:$N$190,MATCH($A7,日常水質!$I$187:$N$187,0))),"")</f>
        <v/>
      </c>
      <c r="F7" s="1052">
        <f>IFERROR(IFERROR(IFERROR(IFERROR(IFERROR(INDEX(日常水質!$I$8:$N$8,MATCH($A7,日常水質!$I$3:$N$3,0)),INDEX(日常水質!$I$54:$N$54,MATCH($A7,日常水質!$I$49:$N$49,0))),INDEX(日常水質!$I$100:$N$100,MATCH($A7,日常水質!$I$95:$N$95,0))),INDEX(日常水質!$I$146:$N$146,MATCH($A7,日常水質!$I$141:$N$141,0))),INDEX(日常水質!$I$192:$N$192,MATCH($A7,日常水質!$I$187:$N$187,0))),"")</f>
        <v/>
      </c>
      <c r="G7" s="1053" t="n"/>
      <c r="H7" s="1054" t="n"/>
      <c r="I7" s="714" t="n"/>
      <c r="J7" s="1055">
        <f>IFERROR(IFERROR(IFERROR(IFERROR(IFERROR(INDEX(日常水質!$I$10:$N$10,MATCH($A7,日常水質!$I$3:$N$3,0)),INDEX(日常水質!$I$56:$N$56,MATCH($A7,日常水質!$I$49:$N$49,0))),INDEX(日常水質!$I$102:$N$102,MATCH($A7,日常水質!$I$95:$N$95,0))),INDEX(日常水質!$I$148:$N$148,MATCH($A7,日常水質!$I$141:$N$141,0))),INDEX(日常水質!$I$194:$N$194,MATCH($A7,日常水質!$I$187:$N$187,0))),"")</f>
        <v/>
      </c>
      <c r="K7" s="1042">
        <f>IF(J7="","",IFERROR((J7-LOOKUP(2,1/(J$6:J6&lt;&gt;""),J$6:J6))/(A7-LOOKUP(2,1/(J$6:J6&lt;&gt;""),A$6:A6)),""))</f>
        <v/>
      </c>
      <c r="L7" s="1056">
        <f>IFERROR(IFERROR(IFERROR(IFERROR(IFERROR(INDEX(日常水質!$I$11:$N$11,MATCH($A7,日常水質!$I$3:$N$3,0)),INDEX(日常水質!$I$57:$N$57,MATCH($A7,日常水質!$I$49:$N$49,0))),INDEX(日常水質!$I$103:$N$103,MATCH($A7,日常水質!$I$95:$N$95,0))),INDEX(日常水質!$I$149:$N$149,MATCH($A7,日常水質!$I$141:$N$141,0))),INDEX(日常水質!$I$195:$N$195,MATCH($A7,日常水質!$I$187:$N$187,0))),"")</f>
        <v/>
      </c>
      <c r="M7" s="1043">
        <f>IF(L7="","",IFERROR((L7-LOOKUP(2,1/(L$6:L6&lt;&gt;""),L$6:L6))/(A7-LOOKUP(2,1/(L$6:L6&lt;&gt;""),A$6:A6)),""))</f>
        <v/>
      </c>
      <c r="N7" s="1044">
        <f>IFERROR(IFERROR(IFERROR(IFERROR(IFERROR(INDEX(日常水質!$I$12:$N$12,MATCH($A7,日常水質!$I$3:$N$3,0)),INDEX(日常水質!$I$58:$N$58,MATCH($A7,日常水質!$I$49:$N$49,0))),INDEX(日常水質!$I$104:$N$104,MATCH($A7,日常水質!$I$95:$N$95,0))),INDEX(日常水質!$I$150:$N$150,MATCH($A7,日常水質!$I$141:$N$141,0))),INDEX(日常水質!$I$196:$N$196,MATCH($A7,日常水質!$I$187:$N$187,0))),"")</f>
        <v/>
      </c>
      <c r="O7" s="1015" t="n"/>
    </row>
    <row r="8" ht="13.5" customHeight="1" s="614">
      <c r="A8" s="1048">
        <f>IF(ISNUMBER(A7),IF(MONTH(A7+1)=MONTH($A$6),A7+1,""),"")</f>
        <v/>
      </c>
      <c r="B8" s="1049">
        <f>IF(ISNUMBER(A8),A8,"")</f>
        <v/>
      </c>
      <c r="C8" s="1050">
        <f>IFERROR(IFERROR(IFERROR(IFERROR(IFERROR(INDEX(日常水質!$I$4:$N$4,MATCH($A8,日常水質!$I$3:$N$3,0)),INDEX(日常水質!$I$50:$N$50,MATCH($A8,日常水質!$I$49:$N$49,0))),INDEX(日常水質!$I$96:$N$96,MATCH($A8,日常水質!$I$95:$N$95,0))),INDEX(日常水質!$I$142:$N$142,MATCH($A8,日常水質!$I$141:$N$141,0))),INDEX(日常水質!$I$188:$N$188,MATCH($A8,日常水質!$I$187:$N$187,0))),"")</f>
        <v/>
      </c>
      <c r="D8" s="1038">
        <f>IFERROR(IFERROR(IFERROR(IFERROR(IFERROR(INDEX(日常水質!$I$5:$N$5,MATCH($A8,日常水質!$I$3:$N$3,0)),INDEX(日常水質!$I$51:$N$51,MATCH($A8,日常水質!$I$49:$N$49,0))),INDEX(日常水質!$I$97:$N$97,MATCH($A8,日常水質!$I$95:$N$95,0))),INDEX(日常水質!$I$143:$N$143,MATCH($A8,日常水質!$I$141:$N$141,0))),INDEX(日常水質!$I$189:$N$189,MATCH($A8,日常水質!$I$187:$N$187,0))),"")</f>
        <v/>
      </c>
      <c r="E8" s="1051">
        <f>IFERROR(IFERROR(IFERROR(IFERROR(IFERROR(INDEX(日常水質!$I$6:$N$6,MATCH($A8,日常水質!$I$3:$N$3,0)),INDEX(日常水質!$I$52:$N$52,MATCH($A8,日常水質!$I$49:$N$49,0))),INDEX(日常水質!$I$98:$N$98,MATCH($A8,日常水質!$I$95:$N$95,0))),INDEX(日常水質!$I$144:$N$144,MATCH($A8,日常水質!$I$141:$N$141,0))),INDEX(日常水質!$I$190:$N$190,MATCH($A8,日常水質!$I$187:$N$187,0))),"")</f>
        <v/>
      </c>
      <c r="F8" s="1052">
        <f>IFERROR(IFERROR(IFERROR(IFERROR(IFERROR(INDEX(日常水質!$I$8:$N$8,MATCH($A8,日常水質!$I$3:$N$3,0)),INDEX(日常水質!$I$54:$N$54,MATCH($A8,日常水質!$I$49:$N$49,0))),INDEX(日常水質!$I$100:$N$100,MATCH($A8,日常水質!$I$95:$N$95,0))),INDEX(日常水質!$I$146:$N$146,MATCH($A8,日常水質!$I$141:$N$141,0))),INDEX(日常水質!$I$192:$N$192,MATCH($A8,日常水質!$I$187:$N$187,0))),"")</f>
        <v/>
      </c>
      <c r="G8" s="1053" t="n"/>
      <c r="H8" s="1054" t="n"/>
      <c r="I8" s="714" t="n"/>
      <c r="J8" s="1055">
        <f>IFERROR(IFERROR(IFERROR(IFERROR(IFERROR(INDEX(日常水質!$I$10:$N$10,MATCH($A8,日常水質!$I$3:$N$3,0)),INDEX(日常水質!$I$56:$N$56,MATCH($A8,日常水質!$I$49:$N$49,0))),INDEX(日常水質!$I$102:$N$102,MATCH($A8,日常水質!$I$95:$N$95,0))),INDEX(日常水質!$I$148:$N$148,MATCH($A8,日常水質!$I$141:$N$141,0))),INDEX(日常水質!$I$194:$N$194,MATCH($A8,日常水質!$I$187:$N$187,0))),"")</f>
        <v/>
      </c>
      <c r="K8" s="1042">
        <f>IF(J8="","",IFERROR((J8-LOOKUP(2,1/(J$6:J7&lt;&gt;""),J$6:J7))/(A8-LOOKUP(2,1/(J$6:J7&lt;&gt;""),A$6:A7)),""))</f>
        <v/>
      </c>
      <c r="L8" s="1056">
        <f>IFERROR(IFERROR(IFERROR(IFERROR(IFERROR(INDEX(日常水質!$I$11:$N$11,MATCH($A8,日常水質!$I$3:$N$3,0)),INDEX(日常水質!$I$57:$N$57,MATCH($A8,日常水質!$I$49:$N$49,0))),INDEX(日常水質!$I$103:$N$103,MATCH($A8,日常水質!$I$95:$N$95,0))),INDEX(日常水質!$I$149:$N$149,MATCH($A8,日常水質!$I$141:$N$141,0))),INDEX(日常水質!$I$195:$N$195,MATCH($A8,日常水質!$I$187:$N$187,0))),"")</f>
        <v/>
      </c>
      <c r="M8" s="1043">
        <f>IF(L8="","",IFERROR((L8-LOOKUP(2,1/(L$6:L7&lt;&gt;""),L$6:L7))/(A8-LOOKUP(2,1/(L$6:L7&lt;&gt;""),A$6:A7)),""))</f>
        <v/>
      </c>
      <c r="N8" s="1044">
        <f>IFERROR(IFERROR(IFERROR(IFERROR(IFERROR(INDEX(日常水質!$I$12:$N$12,MATCH($A8,日常水質!$I$3:$N$3,0)),INDEX(日常水質!$I$58:$N$58,MATCH($A8,日常水質!$I$49:$N$49,0))),INDEX(日常水質!$I$104:$N$104,MATCH($A8,日常水質!$I$95:$N$95,0))),INDEX(日常水質!$I$150:$N$150,MATCH($A8,日常水質!$I$141:$N$141,0))),INDEX(日常水質!$I$196:$N$196,MATCH($A8,日常水質!$I$187:$N$187,0))),"")</f>
        <v/>
      </c>
      <c r="O8" s="1015" t="n"/>
    </row>
    <row r="9" ht="13.5" customHeight="1" s="614">
      <c r="A9" s="1048">
        <f>IF(ISNUMBER(A8),IF(MONTH(A8+1)=MONTH($A$6),A8+1,""),"")</f>
        <v/>
      </c>
      <c r="B9" s="1049">
        <f>IF(ISNUMBER(A9),A9,"")</f>
        <v/>
      </c>
      <c r="C9" s="1050">
        <f>IFERROR(IFERROR(IFERROR(IFERROR(IFERROR(INDEX(日常水質!$I$4:$N$4,MATCH($A9,日常水質!$I$3:$N$3,0)),INDEX(日常水質!$I$50:$N$50,MATCH($A9,日常水質!$I$49:$N$49,0))),INDEX(日常水質!$I$96:$N$96,MATCH($A9,日常水質!$I$95:$N$95,0))),INDEX(日常水質!$I$142:$N$142,MATCH($A9,日常水質!$I$141:$N$141,0))),INDEX(日常水質!$I$188:$N$188,MATCH($A9,日常水質!$I$187:$N$187,0))),"")</f>
        <v/>
      </c>
      <c r="D9" s="1038">
        <f>IFERROR(IFERROR(IFERROR(IFERROR(IFERROR(INDEX(日常水質!$I$5:$N$5,MATCH($A9,日常水質!$I$3:$N$3,0)),INDEX(日常水質!$I$51:$N$51,MATCH($A9,日常水質!$I$49:$N$49,0))),INDEX(日常水質!$I$97:$N$97,MATCH($A9,日常水質!$I$95:$N$95,0))),INDEX(日常水質!$I$143:$N$143,MATCH($A9,日常水質!$I$141:$N$141,0))),INDEX(日常水質!$I$189:$N$189,MATCH($A9,日常水質!$I$187:$N$187,0))),"")</f>
        <v/>
      </c>
      <c r="E9" s="1051">
        <f>IFERROR(IFERROR(IFERROR(IFERROR(IFERROR(INDEX(日常水質!$I$6:$N$6,MATCH($A9,日常水質!$I$3:$N$3,0)),INDEX(日常水質!$I$52:$N$52,MATCH($A9,日常水質!$I$49:$N$49,0))),INDEX(日常水質!$I$98:$N$98,MATCH($A9,日常水質!$I$95:$N$95,0))),INDEX(日常水質!$I$144:$N$144,MATCH($A9,日常水質!$I$141:$N$141,0))),INDEX(日常水質!$I$190:$N$190,MATCH($A9,日常水質!$I$187:$N$187,0))),"")</f>
        <v/>
      </c>
      <c r="F9" s="1052">
        <f>IFERROR(IFERROR(IFERROR(IFERROR(IFERROR(INDEX(日常水質!$I$8:$N$8,MATCH($A9,日常水質!$I$3:$N$3,0)),INDEX(日常水質!$I$54:$N$54,MATCH($A9,日常水質!$I$49:$N$49,0))),INDEX(日常水質!$I$100:$N$100,MATCH($A9,日常水質!$I$95:$N$95,0))),INDEX(日常水質!$I$146:$N$146,MATCH($A9,日常水質!$I$141:$N$141,0))),INDEX(日常水質!$I$192:$N$192,MATCH($A9,日常水質!$I$187:$N$187,0))),"")</f>
        <v/>
      </c>
      <c r="G9" s="1053" t="n"/>
      <c r="H9" s="1054" t="n"/>
      <c r="I9" s="714" t="n"/>
      <c r="J9" s="1055">
        <f>IFERROR(IFERROR(IFERROR(IFERROR(IFERROR(INDEX(日常水質!$I$10:$N$10,MATCH($A9,日常水質!$I$3:$N$3,0)),INDEX(日常水質!$I$56:$N$56,MATCH($A9,日常水質!$I$49:$N$49,0))),INDEX(日常水質!$I$102:$N$102,MATCH($A9,日常水質!$I$95:$N$95,0))),INDEX(日常水質!$I$148:$N$148,MATCH($A9,日常水質!$I$141:$N$141,0))),INDEX(日常水質!$I$194:$N$194,MATCH($A9,日常水質!$I$187:$N$187,0))),"")</f>
        <v/>
      </c>
      <c r="K9" s="1042">
        <f>IF(J9="","",IFERROR((J9-LOOKUP(2,1/(J$6:J8&lt;&gt;""),J$6:J8))/(A9-LOOKUP(2,1/(J$6:J8&lt;&gt;""),A$6:A8)),""))</f>
        <v/>
      </c>
      <c r="L9" s="1056">
        <f>IFERROR(IFERROR(IFERROR(IFERROR(IFERROR(INDEX(日常水質!$I$11:$N$11,MATCH($A9,日常水質!$I$3:$N$3,0)),INDEX(日常水質!$I$57:$N$57,MATCH($A9,日常水質!$I$49:$N$49,0))),INDEX(日常水質!$I$103:$N$103,MATCH($A9,日常水質!$I$95:$N$95,0))),INDEX(日常水質!$I$149:$N$149,MATCH($A9,日常水質!$I$141:$N$141,0))),INDEX(日常水質!$I$195:$N$195,MATCH($A9,日常水質!$I$187:$N$187,0))),"")</f>
        <v/>
      </c>
      <c r="M9" s="1043">
        <f>IF(L9="","",IFERROR((L9-LOOKUP(2,1/(L$6:L8&lt;&gt;""),L$6:L8))/(A9-LOOKUP(2,1/(L$6:L8&lt;&gt;""),A$6:A8)),""))</f>
        <v/>
      </c>
      <c r="N9" s="1044">
        <f>IFERROR(IFERROR(IFERROR(IFERROR(IFERROR(INDEX(日常水質!$I$12:$N$12,MATCH($A9,日常水質!$I$3:$N$3,0)),INDEX(日常水質!$I$58:$N$58,MATCH($A9,日常水質!$I$49:$N$49,0))),INDEX(日常水質!$I$104:$N$104,MATCH($A9,日常水質!$I$95:$N$95,0))),INDEX(日常水質!$I$150:$N$150,MATCH($A9,日常水質!$I$141:$N$141,0))),INDEX(日常水質!$I$196:$N$196,MATCH($A9,日常水質!$I$187:$N$187,0))),"")</f>
        <v/>
      </c>
      <c r="O9" s="1057" t="n"/>
      <c r="P9" s="1058" t="n"/>
      <c r="R9" s="1059" t="n"/>
    </row>
    <row r="10" ht="13.5" customHeight="1" s="614">
      <c r="A10" s="1048">
        <f>IF(ISNUMBER(A9),IF(MONTH(A9+1)=MONTH($A$6),A9+1,""),"")</f>
        <v/>
      </c>
      <c r="B10" s="1049">
        <f>IF(ISNUMBER(A10),A10,"")</f>
        <v/>
      </c>
      <c r="C10" s="1050">
        <f>IFERROR(IFERROR(IFERROR(IFERROR(IFERROR(INDEX(日常水質!$I$4:$N$4,MATCH($A10,日常水質!$I$3:$N$3,0)),INDEX(日常水質!$I$50:$N$50,MATCH($A10,日常水質!$I$49:$N$49,0))),INDEX(日常水質!$I$96:$N$96,MATCH($A10,日常水質!$I$95:$N$95,0))),INDEX(日常水質!$I$142:$N$142,MATCH($A10,日常水質!$I$141:$N$141,0))),INDEX(日常水質!$I$188:$N$188,MATCH($A10,日常水質!$I$187:$N$187,0))),"")</f>
        <v/>
      </c>
      <c r="D10" s="1038">
        <f>IFERROR(IFERROR(IFERROR(IFERROR(IFERROR(INDEX(日常水質!$I$5:$N$5,MATCH($A10,日常水質!$I$3:$N$3,0)),INDEX(日常水質!$I$51:$N$51,MATCH($A10,日常水質!$I$49:$N$49,0))),INDEX(日常水質!$I$97:$N$97,MATCH($A10,日常水質!$I$95:$N$95,0))),INDEX(日常水質!$I$143:$N$143,MATCH($A10,日常水質!$I$141:$N$141,0))),INDEX(日常水質!$I$189:$N$189,MATCH($A10,日常水質!$I$187:$N$187,0))),"")</f>
        <v/>
      </c>
      <c r="E10" s="1051">
        <f>IFERROR(IFERROR(IFERROR(IFERROR(IFERROR(INDEX(日常水質!$I$6:$N$6,MATCH($A10,日常水質!$I$3:$N$3,0)),INDEX(日常水質!$I$52:$N$52,MATCH($A10,日常水質!$I$49:$N$49,0))),INDEX(日常水質!$I$98:$N$98,MATCH($A10,日常水質!$I$95:$N$95,0))),INDEX(日常水質!$I$144:$N$144,MATCH($A10,日常水質!$I$141:$N$141,0))),INDEX(日常水質!$I$190:$N$190,MATCH($A10,日常水質!$I$187:$N$187,0))),"")</f>
        <v/>
      </c>
      <c r="F10" s="1052">
        <f>IFERROR(IFERROR(IFERROR(IFERROR(IFERROR(INDEX(日常水質!$I$8:$N$8,MATCH($A10,日常水質!$I$3:$N$3,0)),INDEX(日常水質!$I$54:$N$54,MATCH($A10,日常水質!$I$49:$N$49,0))),INDEX(日常水質!$I$100:$N$100,MATCH($A10,日常水質!$I$95:$N$95,0))),INDEX(日常水質!$I$146:$N$146,MATCH($A10,日常水質!$I$141:$N$141,0))),INDEX(日常水質!$I$192:$N$192,MATCH($A10,日常水質!$I$187:$N$187,0))),"")</f>
        <v/>
      </c>
      <c r="G10" s="1053" t="n"/>
      <c r="H10" s="1060" t="n"/>
      <c r="I10" s="1054" t="n"/>
      <c r="J10" s="1055">
        <f>IFERROR(IFERROR(IFERROR(IFERROR(IFERROR(INDEX(日常水質!$I$10:$N$10,MATCH($A10,日常水質!$I$3:$N$3,0)),INDEX(日常水質!$I$56:$N$56,MATCH($A10,日常水質!$I$49:$N$49,0))),INDEX(日常水質!$I$102:$N$102,MATCH($A10,日常水質!$I$95:$N$95,0))),INDEX(日常水質!$I$148:$N$148,MATCH($A10,日常水質!$I$141:$N$141,0))),INDEX(日常水質!$I$194:$N$194,MATCH($A10,日常水質!$I$187:$N$187,0))),"")</f>
        <v/>
      </c>
      <c r="K10" s="1042">
        <f>IF(J10="","",IFERROR((J10-LOOKUP(2,1/(J$6:J9&lt;&gt;""),J$6:J9))/(A10-LOOKUP(2,1/(J$6:J9&lt;&gt;""),A$6:A9)),""))</f>
        <v/>
      </c>
      <c r="L10" s="1056">
        <f>IFERROR(IFERROR(IFERROR(IFERROR(IFERROR(INDEX(日常水質!$I$11:$N$11,MATCH($A10,日常水質!$I$3:$N$3,0)),INDEX(日常水質!$I$57:$N$57,MATCH($A10,日常水質!$I$49:$N$49,0))),INDEX(日常水質!$I$103:$N$103,MATCH($A10,日常水質!$I$95:$N$95,0))),INDEX(日常水質!$I$149:$N$149,MATCH($A10,日常水質!$I$141:$N$141,0))),INDEX(日常水質!$I$195:$N$195,MATCH($A10,日常水質!$I$187:$N$187,0))),"")</f>
        <v/>
      </c>
      <c r="M10" s="1043">
        <f>IF(L10="","",IFERROR((L10-LOOKUP(2,1/(L$6:L9&lt;&gt;""),L$6:L9))/(A10-LOOKUP(2,1/(L$6:L9&lt;&gt;""),A$6:A9)),""))</f>
        <v/>
      </c>
      <c r="N10" s="1061">
        <f>IFERROR(IFERROR(IFERROR(IFERROR(IFERROR(INDEX(日常水質!$I$12:$N$12,MATCH($A10,日常水質!$I$3:$N$3,0)),INDEX(日常水質!$I$58:$N$58,MATCH($A10,日常水質!$I$49:$N$49,0))),INDEX(日常水質!$I$104:$N$104,MATCH($A10,日常水質!$I$95:$N$95,0))),INDEX(日常水質!$I$150:$N$150,MATCH($A10,日常水質!$I$141:$N$141,0))),INDEX(日常水質!$I$196:$N$196,MATCH($A10,日常水質!$I$187:$N$187,0))),"")</f>
        <v/>
      </c>
      <c r="O10" s="1057" t="n"/>
    </row>
    <row r="11" ht="13.5" customHeight="1" s="614">
      <c r="A11" s="1048">
        <f>IF(ISNUMBER(A10),IF(MONTH(A10+1)=MONTH($A$6),A10+1,""),"")</f>
        <v/>
      </c>
      <c r="B11" s="1049">
        <f>IF(ISNUMBER(A11),A11,"")</f>
        <v/>
      </c>
      <c r="C11" s="1050">
        <f>IFERROR(IFERROR(IFERROR(IFERROR(IFERROR(INDEX(日常水質!$I$4:$N$4,MATCH($A11,日常水質!$I$3:$N$3,0)),INDEX(日常水質!$I$50:$N$50,MATCH($A11,日常水質!$I$49:$N$49,0))),INDEX(日常水質!$I$96:$N$96,MATCH($A11,日常水質!$I$95:$N$95,0))),INDEX(日常水質!$I$142:$N$142,MATCH($A11,日常水質!$I$141:$N$141,0))),INDEX(日常水質!$I$188:$N$188,MATCH($A11,日常水質!$I$187:$N$187,0))),"")</f>
        <v/>
      </c>
      <c r="D11" s="1038">
        <f>IFERROR(IFERROR(IFERROR(IFERROR(IFERROR(INDEX(日常水質!$I$5:$N$5,MATCH($A11,日常水質!$I$3:$N$3,0)),INDEX(日常水質!$I$51:$N$51,MATCH($A11,日常水質!$I$49:$N$49,0))),INDEX(日常水質!$I$97:$N$97,MATCH($A11,日常水質!$I$95:$N$95,0))),INDEX(日常水質!$I$143:$N$143,MATCH($A11,日常水質!$I$141:$N$141,0))),INDEX(日常水質!$I$189:$N$189,MATCH($A11,日常水質!$I$187:$N$187,0))),"")</f>
        <v/>
      </c>
      <c r="E11" s="1051">
        <f>IFERROR(IFERROR(IFERROR(IFERROR(IFERROR(INDEX(日常水質!$I$6:$N$6,MATCH($A11,日常水質!$I$3:$N$3,0)),INDEX(日常水質!$I$52:$N$52,MATCH($A11,日常水質!$I$49:$N$49,0))),INDEX(日常水質!$I$98:$N$98,MATCH($A11,日常水質!$I$95:$N$95,0))),INDEX(日常水質!$I$144:$N$144,MATCH($A11,日常水質!$I$141:$N$141,0))),INDEX(日常水質!$I$190:$N$190,MATCH($A11,日常水質!$I$187:$N$187,0))),"")</f>
        <v/>
      </c>
      <c r="F11" s="1052">
        <f>IFERROR(IFERROR(IFERROR(IFERROR(IFERROR(INDEX(日常水質!$I$8:$N$8,MATCH($A11,日常水質!$I$3:$N$3,0)),INDEX(日常水質!$I$54:$N$54,MATCH($A11,日常水質!$I$49:$N$49,0))),INDEX(日常水質!$I$100:$N$100,MATCH($A11,日常水質!$I$95:$N$95,0))),INDEX(日常水質!$I$146:$N$146,MATCH($A11,日常水質!$I$141:$N$141,0))),INDEX(日常水質!$I$192:$N$192,MATCH($A11,日常水質!$I$187:$N$187,0))),"")</f>
        <v/>
      </c>
      <c r="G11" s="1053" t="n"/>
      <c r="H11" s="1060" t="n"/>
      <c r="I11" s="1015" t="n"/>
      <c r="J11" s="1055">
        <f>IFERROR(IFERROR(IFERROR(IFERROR(IFERROR(INDEX(日常水質!$I$10:$N$10,MATCH($A11,日常水質!$I$3:$N$3,0)),INDEX(日常水質!$I$56:$N$56,MATCH($A11,日常水質!$I$49:$N$49,0))),INDEX(日常水質!$I$102:$N$102,MATCH($A11,日常水質!$I$95:$N$95,0))),INDEX(日常水質!$I$148:$N$148,MATCH($A11,日常水質!$I$141:$N$141,0))),INDEX(日常水質!$I$194:$N$194,MATCH($A11,日常水質!$I$187:$N$187,0))),"")</f>
        <v/>
      </c>
      <c r="K11" s="1042">
        <f>IF(J11="","",IFERROR((J11-LOOKUP(2,1/(J$6:J10&lt;&gt;""),J$6:J10))/(A11-LOOKUP(2,1/(J$6:J10&lt;&gt;""),A$6:A10)),""))</f>
        <v/>
      </c>
      <c r="L11" s="1056">
        <f>IFERROR(IFERROR(IFERROR(IFERROR(IFERROR(INDEX(日常水質!$I$11:$N$11,MATCH($A11,日常水質!$I$3:$N$3,0)),INDEX(日常水質!$I$57:$N$57,MATCH($A11,日常水質!$I$49:$N$49,0))),INDEX(日常水質!$I$103:$N$103,MATCH($A11,日常水質!$I$95:$N$95,0))),INDEX(日常水質!$I$149:$N$149,MATCH($A11,日常水質!$I$141:$N$141,0))),INDEX(日常水質!$I$195:$N$195,MATCH($A11,日常水質!$I$187:$N$187,0))),"")</f>
        <v/>
      </c>
      <c r="M11" s="1043">
        <f>IF(L11="","",IFERROR((L11-LOOKUP(2,1/(L$6:L10&lt;&gt;""),L$6:L10))/(A11-LOOKUP(2,1/(L$6:L10&lt;&gt;""),A$6:A10)),""))</f>
        <v/>
      </c>
      <c r="N11" s="1061">
        <f>IFERROR(IFERROR(IFERROR(IFERROR(IFERROR(INDEX(日常水質!$I$12:$N$12,MATCH($A11,日常水質!$I$3:$N$3,0)),INDEX(日常水質!$I$58:$N$58,MATCH($A11,日常水質!$I$49:$N$49,0))),INDEX(日常水質!$I$104:$N$104,MATCH($A11,日常水質!$I$95:$N$95,0))),INDEX(日常水質!$I$150:$N$150,MATCH($A11,日常水質!$I$141:$N$141,0))),INDEX(日常水質!$I$196:$N$196,MATCH($A11,日常水質!$I$187:$N$187,0))),"")</f>
        <v/>
      </c>
      <c r="O11" s="1057" t="n"/>
      <c r="P11" s="1058" t="n"/>
      <c r="R11" s="1059" t="n"/>
    </row>
    <row r="12" ht="13.5" customHeight="1" s="614">
      <c r="A12" s="1048">
        <f>IF(ISNUMBER(A11),IF(MONTH(A11+1)=MONTH($A$6),A11+1,""),"")</f>
        <v/>
      </c>
      <c r="B12" s="1049">
        <f>IF(ISNUMBER(A12),A12,"")</f>
        <v/>
      </c>
      <c r="C12" s="1062">
        <f>IFERROR(IFERROR(IFERROR(IFERROR(IFERROR(INDEX(日常水質!$I$4:$N$4,MATCH($A12,日常水質!$I$3:$N$3,0)),INDEX(日常水質!$I$50:$N$50,MATCH($A12,日常水質!$I$49:$N$49,0))),INDEX(日常水質!$I$96:$N$96,MATCH($A12,日常水質!$I$95:$N$95,0))),INDEX(日常水質!$I$142:$N$142,MATCH($A12,日常水質!$I$141:$N$141,0))),INDEX(日常水質!$I$188:$N$188,MATCH($A12,日常水質!$I$187:$N$187,0))),"")</f>
        <v/>
      </c>
      <c r="D12" s="1052">
        <f>IFERROR(IFERROR(IFERROR(IFERROR(IFERROR(INDEX(日常水質!$I$5:$N$5,MATCH($A12,日常水質!$I$3:$N$3,0)),INDEX(日常水質!$I$51:$N$51,MATCH($A12,日常水質!$I$49:$N$49,0))),INDEX(日常水質!$I$97:$N$97,MATCH($A12,日常水質!$I$95:$N$95,0))),INDEX(日常水質!$I$143:$N$143,MATCH($A12,日常水質!$I$141:$N$141,0))),INDEX(日常水質!$I$189:$N$189,MATCH($A12,日常水質!$I$187:$N$187,0))),"")</f>
        <v/>
      </c>
      <c r="E12" s="1052">
        <f>IFERROR(IFERROR(IFERROR(IFERROR(IFERROR(INDEX(日常水質!$I$6:$N$6,MATCH($A12,日常水質!$I$3:$N$3,0)),INDEX(日常水質!$I$52:$N$52,MATCH($A12,日常水質!$I$49:$N$49,0))),INDEX(日常水質!$I$98:$N$98,MATCH($A12,日常水質!$I$95:$N$95,0))),INDEX(日常水質!$I$144:$N$144,MATCH($A12,日常水質!$I$141:$N$141,0))),INDEX(日常水質!$I$190:$N$190,MATCH($A12,日常水質!$I$187:$N$187,0))),"")</f>
        <v/>
      </c>
      <c r="F12" s="1052">
        <f>IFERROR(IFERROR(IFERROR(IFERROR(IFERROR(INDEX(日常水質!$I$8:$N$8,MATCH($A12,日常水質!$I$3:$N$3,0)),INDEX(日常水質!$I$54:$N$54,MATCH($A12,日常水質!$I$49:$N$49,0))),INDEX(日常水質!$I$100:$N$100,MATCH($A12,日常水質!$I$95:$N$95,0))),INDEX(日常水質!$I$146:$N$146,MATCH($A12,日常水質!$I$141:$N$141,0))),INDEX(日常水質!$I$192:$N$192,MATCH($A12,日常水質!$I$187:$N$187,0))),"")</f>
        <v/>
      </c>
      <c r="G12" s="1053" t="n"/>
      <c r="H12" s="1060" t="n"/>
      <c r="I12" s="1054" t="n"/>
      <c r="J12" s="1055">
        <f>IFERROR(IFERROR(IFERROR(IFERROR(IFERROR(INDEX(日常水質!$I$10:$N$10,MATCH($A12,日常水質!$I$3:$N$3,0)),INDEX(日常水質!$I$56:$N$56,MATCH($A12,日常水質!$I$49:$N$49,0))),INDEX(日常水質!$I$102:$N$102,MATCH($A12,日常水質!$I$95:$N$95,0))),INDEX(日常水質!$I$148:$N$148,MATCH($A12,日常水質!$I$141:$N$141,0))),INDEX(日常水質!$I$194:$N$194,MATCH($A12,日常水質!$I$187:$N$187,0))),"")</f>
        <v/>
      </c>
      <c r="K12" s="1042">
        <f>IF(J12="","",IFERROR((J12-LOOKUP(2,1/(J$6:J11&lt;&gt;""),J$6:J11))/(A12-LOOKUP(2,1/(J$6:J11&lt;&gt;""),A$6:A11)),""))</f>
        <v/>
      </c>
      <c r="L12" s="1056">
        <f>IFERROR(IFERROR(IFERROR(IFERROR(IFERROR(INDEX(日常水質!$I$11:$N$11,MATCH($A12,日常水質!$I$3:$N$3,0)),INDEX(日常水質!$I$57:$N$57,MATCH($A12,日常水質!$I$49:$N$49,0))),INDEX(日常水質!$I$103:$N$103,MATCH($A12,日常水質!$I$95:$N$95,0))),INDEX(日常水質!$I$149:$N$149,MATCH($A12,日常水質!$I$141:$N$141,0))),INDEX(日常水質!$I$195:$N$195,MATCH($A12,日常水質!$I$187:$N$187,0))),"")</f>
        <v/>
      </c>
      <c r="M12" s="1043">
        <f>IF(L12="","",IFERROR((L12-LOOKUP(2,1/(L$6:L11&lt;&gt;""),L$6:L11))/(A12-LOOKUP(2,1/(L$6:L11&lt;&gt;""),A$6:A11)),""))</f>
        <v/>
      </c>
      <c r="N12" s="1061">
        <f>IFERROR(IFERROR(IFERROR(IFERROR(IFERROR(INDEX(日常水質!$I$12:$N$12,MATCH($A12,日常水質!$I$3:$N$3,0)),INDEX(日常水質!$I$58:$N$58,MATCH($A12,日常水質!$I$49:$N$49,0))),INDEX(日常水質!$I$104:$N$104,MATCH($A12,日常水質!$I$95:$N$95,0))),INDEX(日常水質!$I$150:$N$150,MATCH($A12,日常水質!$I$141:$N$141,0))),INDEX(日常水質!$I$196:$N$196,MATCH($A12,日常水質!$I$187:$N$187,0))),"")</f>
        <v/>
      </c>
      <c r="O12" s="1057" t="n"/>
      <c r="P12" s="1059" t="n"/>
      <c r="R12" s="1059" t="n"/>
    </row>
    <row r="13" ht="13.5" customHeight="1" s="614">
      <c r="A13" s="1048">
        <f>IF(ISNUMBER(A12),IF(MONTH(A12+1)=MONTH($A$6),A12+1,""),"")</f>
        <v/>
      </c>
      <c r="B13" s="1049">
        <f>IF(ISNUMBER(A13),A13,"")</f>
        <v/>
      </c>
      <c r="C13" s="1062">
        <f>IFERROR(IFERROR(IFERROR(IFERROR(IFERROR(INDEX(日常水質!$I$4:$N$4,MATCH($A13,日常水質!$I$3:$N$3,0)),INDEX(日常水質!$I$50:$N$50,MATCH($A13,日常水質!$I$49:$N$49,0))),INDEX(日常水質!$I$96:$N$96,MATCH($A13,日常水質!$I$95:$N$95,0))),INDEX(日常水質!$I$142:$N$142,MATCH($A13,日常水質!$I$141:$N$141,0))),INDEX(日常水質!$I$188:$N$188,MATCH($A13,日常水質!$I$187:$N$187,0))),"")</f>
        <v/>
      </c>
      <c r="D13" s="1052">
        <f>IFERROR(IFERROR(IFERROR(IFERROR(IFERROR(INDEX(日常水質!$I$5:$N$5,MATCH($A13,日常水質!$I$3:$N$3,0)),INDEX(日常水質!$I$51:$N$51,MATCH($A13,日常水質!$I$49:$N$49,0))),INDEX(日常水質!$I$97:$N$97,MATCH($A13,日常水質!$I$95:$N$95,0))),INDEX(日常水質!$I$143:$N$143,MATCH($A13,日常水質!$I$141:$N$141,0))),INDEX(日常水質!$I$189:$N$189,MATCH($A13,日常水質!$I$187:$N$187,0))),"")</f>
        <v/>
      </c>
      <c r="E13" s="1052">
        <f>IFERROR(IFERROR(IFERROR(IFERROR(IFERROR(INDEX(日常水質!$I$6:$N$6,MATCH($A13,日常水質!$I$3:$N$3,0)),INDEX(日常水質!$I$52:$N$52,MATCH($A13,日常水質!$I$49:$N$49,0))),INDEX(日常水質!$I$98:$N$98,MATCH($A13,日常水質!$I$95:$N$95,0))),INDEX(日常水質!$I$144:$N$144,MATCH($A13,日常水質!$I$141:$N$141,0))),INDEX(日常水質!$I$190:$N$190,MATCH($A13,日常水質!$I$187:$N$187,0))),"")</f>
        <v/>
      </c>
      <c r="F13" s="1052">
        <f>IFERROR(IFERROR(IFERROR(IFERROR(IFERROR(INDEX(日常水質!$I$8:$N$8,MATCH($A13,日常水質!$I$3:$N$3,0)),INDEX(日常水質!$I$54:$N$54,MATCH($A13,日常水質!$I$49:$N$49,0))),INDEX(日常水質!$I$100:$N$100,MATCH($A13,日常水質!$I$95:$N$95,0))),INDEX(日常水質!$I$146:$N$146,MATCH($A13,日常水質!$I$141:$N$141,0))),INDEX(日常水質!$I$192:$N$192,MATCH($A13,日常水質!$I$187:$N$187,0))),"")</f>
        <v/>
      </c>
      <c r="G13" s="1053" t="n"/>
      <c r="H13" s="714" t="n"/>
      <c r="I13" s="1060" t="n"/>
      <c r="J13" s="1055">
        <f>IFERROR(IFERROR(IFERROR(IFERROR(IFERROR(INDEX(日常水質!$I$10:$N$10,MATCH($A13,日常水質!$I$3:$N$3,0)),INDEX(日常水質!$I$56:$N$56,MATCH($A13,日常水質!$I$49:$N$49,0))),INDEX(日常水質!$I$102:$N$102,MATCH($A13,日常水質!$I$95:$N$95,0))),INDEX(日常水質!$I$148:$N$148,MATCH($A13,日常水質!$I$141:$N$141,0))),INDEX(日常水質!$I$194:$N$194,MATCH($A13,日常水質!$I$187:$N$187,0))),"")</f>
        <v/>
      </c>
      <c r="K13" s="1042">
        <f>IF(J13="","",IFERROR((J13-LOOKUP(2,1/(J$6:J12&lt;&gt;""),J$6:J12))/(A13-LOOKUP(2,1/(J$6:J12&lt;&gt;""),A$6:A12)),""))</f>
        <v/>
      </c>
      <c r="L13" s="1056">
        <f>IFERROR(IFERROR(IFERROR(IFERROR(IFERROR(INDEX(日常水質!$I$11:$N$11,MATCH($A13,日常水質!$I$3:$N$3,0)),INDEX(日常水質!$I$57:$N$57,MATCH($A13,日常水質!$I$49:$N$49,0))),INDEX(日常水質!$I$103:$N$103,MATCH($A13,日常水質!$I$95:$N$95,0))),INDEX(日常水質!$I$149:$N$149,MATCH($A13,日常水質!$I$141:$N$141,0))),INDEX(日常水質!$I$195:$N$195,MATCH($A13,日常水質!$I$187:$N$187,0))),"")</f>
        <v/>
      </c>
      <c r="M13" s="1043">
        <f>IF(L13="","",IFERROR((L13-LOOKUP(2,1/(L$6:L12&lt;&gt;""),L$6:L12))/(A13-LOOKUP(2,1/(L$6:L12&lt;&gt;""),A$6:A12)),""))</f>
        <v/>
      </c>
      <c r="N13" s="1061">
        <f>IFERROR(IFERROR(IFERROR(IFERROR(IFERROR(INDEX(日常水質!$I$12:$N$12,MATCH($A13,日常水質!$I$3:$N$3,0)),INDEX(日常水質!$I$58:$N$58,MATCH($A13,日常水質!$I$49:$N$49,0))),INDEX(日常水質!$I$104:$N$104,MATCH($A13,日常水質!$I$95:$N$95,0))),INDEX(日常水質!$I$150:$N$150,MATCH($A13,日常水質!$I$141:$N$141,0))),INDEX(日常水質!$I$196:$N$196,MATCH($A13,日常水質!$I$187:$N$187,0))),"")</f>
        <v/>
      </c>
      <c r="O13" s="1057" t="n"/>
      <c r="R13" s="1059" t="n"/>
    </row>
    <row r="14" ht="13.5" customHeight="1" s="614">
      <c r="A14" s="1048">
        <f>IF(ISNUMBER(A13),IF(MONTH(A13+1)=MONTH($A$6),A13+1,""),"")</f>
        <v/>
      </c>
      <c r="B14" s="1049">
        <f>IF(ISNUMBER(A14),A14,"")</f>
        <v/>
      </c>
      <c r="C14" s="1050">
        <f>IFERROR(IFERROR(IFERROR(IFERROR(IFERROR(INDEX(日常水質!$I$4:$N$4,MATCH($A14,日常水質!$I$3:$N$3,0)),INDEX(日常水質!$I$50:$N$50,MATCH($A14,日常水質!$I$49:$N$49,0))),INDEX(日常水質!$I$96:$N$96,MATCH($A14,日常水質!$I$95:$N$95,0))),INDEX(日常水質!$I$142:$N$142,MATCH($A14,日常水質!$I$141:$N$141,0))),INDEX(日常水質!$I$188:$N$188,MATCH($A14,日常水質!$I$187:$N$187,0))),"")</f>
        <v/>
      </c>
      <c r="D14" s="1052">
        <f>IFERROR(IFERROR(IFERROR(IFERROR(IFERROR(INDEX(日常水質!$I$5:$N$5,MATCH($A14,日常水質!$I$3:$N$3,0)),INDEX(日常水質!$I$51:$N$51,MATCH($A14,日常水質!$I$49:$N$49,0))),INDEX(日常水質!$I$97:$N$97,MATCH($A14,日常水質!$I$95:$N$95,0))),INDEX(日常水質!$I$143:$N$143,MATCH($A14,日常水質!$I$141:$N$141,0))),INDEX(日常水質!$I$189:$N$189,MATCH($A14,日常水質!$I$187:$N$187,0))),"")</f>
        <v/>
      </c>
      <c r="E14" s="1052">
        <f>IFERROR(IFERROR(IFERROR(IFERROR(IFERROR(INDEX(日常水質!$I$6:$N$6,MATCH($A14,日常水質!$I$3:$N$3,0)),INDEX(日常水質!$I$52:$N$52,MATCH($A14,日常水質!$I$49:$N$49,0))),INDEX(日常水質!$I$98:$N$98,MATCH($A14,日常水質!$I$95:$N$95,0))),INDEX(日常水質!$I$144:$N$144,MATCH($A14,日常水質!$I$141:$N$141,0))),INDEX(日常水質!$I$190:$N$190,MATCH($A14,日常水質!$I$187:$N$187,0))),"")</f>
        <v/>
      </c>
      <c r="F14" s="1052">
        <f>IFERROR(IFERROR(IFERROR(IFERROR(IFERROR(INDEX(日常水質!$I$8:$N$8,MATCH($A14,日常水質!$I$3:$N$3,0)),INDEX(日常水質!$I$54:$N$54,MATCH($A14,日常水質!$I$49:$N$49,0))),INDEX(日常水質!$I$100:$N$100,MATCH($A14,日常水質!$I$95:$N$95,0))),INDEX(日常水質!$I$146:$N$146,MATCH($A14,日常水質!$I$141:$N$141,0))),INDEX(日常水質!$I$192:$N$192,MATCH($A14,日常水質!$I$187:$N$187,0))),"")</f>
        <v/>
      </c>
      <c r="G14" s="1053" t="n"/>
      <c r="H14" s="714" t="n"/>
      <c r="I14" s="1060" t="n"/>
      <c r="J14" s="1055">
        <f>IFERROR(IFERROR(IFERROR(IFERROR(IFERROR(INDEX(日常水質!$I$10:$N$10,MATCH($A14,日常水質!$I$3:$N$3,0)),INDEX(日常水質!$I$56:$N$56,MATCH($A14,日常水質!$I$49:$N$49,0))),INDEX(日常水質!$I$102:$N$102,MATCH($A14,日常水質!$I$95:$N$95,0))),INDEX(日常水質!$I$148:$N$148,MATCH($A14,日常水質!$I$141:$N$141,0))),INDEX(日常水質!$I$194:$N$194,MATCH($A14,日常水質!$I$187:$N$187,0))),"")</f>
        <v/>
      </c>
      <c r="K14" s="1042">
        <f>IF(J14="","",IFERROR((J14-LOOKUP(2,1/(J$6:J13&lt;&gt;""),J$6:J13))/(A14-LOOKUP(2,1/(J$6:J13&lt;&gt;""),A$6:A13)),""))</f>
        <v/>
      </c>
      <c r="L14" s="1043">
        <f>IFERROR(IFERROR(IFERROR(IFERROR(IFERROR(INDEX(日常水質!$I$11:$N$11,MATCH($A14,日常水質!$I$3:$N$3,0)),INDEX(日常水質!$I$57:$N$57,MATCH($A14,日常水質!$I$49:$N$49,0))),INDEX(日常水質!$I$103:$N$103,MATCH($A14,日常水質!$I$95:$N$95,0))),INDEX(日常水質!$I$149:$N$149,MATCH($A14,日常水質!$I$141:$N$141,0))),INDEX(日常水質!$I$195:$N$195,MATCH($A14,日常水質!$I$187:$N$187,0))),"")</f>
        <v/>
      </c>
      <c r="M14" s="1043">
        <f>IF(L14="","",IFERROR((L14-LOOKUP(2,1/(L$6:L13&lt;&gt;""),L$6:L13))/(A14-LOOKUP(2,1/(L$6:L13&lt;&gt;""),A$6:A13)),""))</f>
        <v/>
      </c>
      <c r="N14" s="1061">
        <f>IFERROR(IFERROR(IFERROR(IFERROR(IFERROR(INDEX(日常水質!$I$12:$N$12,MATCH($A14,日常水質!$I$3:$N$3,0)),INDEX(日常水質!$I$58:$N$58,MATCH($A14,日常水質!$I$49:$N$49,0))),INDEX(日常水質!$I$104:$N$104,MATCH($A14,日常水質!$I$95:$N$95,0))),INDEX(日常水質!$I$150:$N$150,MATCH($A14,日常水質!$I$141:$N$141,0))),INDEX(日常水質!$I$196:$N$196,MATCH($A14,日常水質!$I$187:$N$187,0))),"")</f>
        <v/>
      </c>
      <c r="O14" s="1057" t="n"/>
      <c r="P14" s="1059" t="n"/>
      <c r="R14" s="1059" t="n"/>
    </row>
    <row r="15" ht="13.5" customHeight="1" s="614">
      <c r="A15" s="1048">
        <f>IF(ISNUMBER(A14),IF(MONTH(A14+1)=MONTH($A$6),A14+1,""),"")</f>
        <v/>
      </c>
      <c r="B15" s="1049">
        <f>IF(ISNUMBER(A15),A15,"")</f>
        <v/>
      </c>
      <c r="C15" s="1050">
        <f>IFERROR(IFERROR(IFERROR(IFERROR(IFERROR(INDEX(日常水質!$I$4:$N$4,MATCH($A15,日常水質!$I$3:$N$3,0)),INDEX(日常水質!$I$50:$N$50,MATCH($A15,日常水質!$I$49:$N$49,0))),INDEX(日常水質!$I$96:$N$96,MATCH($A15,日常水質!$I$95:$N$95,0))),INDEX(日常水質!$I$142:$N$142,MATCH($A15,日常水質!$I$141:$N$141,0))),INDEX(日常水質!$I$188:$N$188,MATCH($A15,日常水質!$I$187:$N$187,0))),"")</f>
        <v/>
      </c>
      <c r="D15" s="1052">
        <f>IFERROR(IFERROR(IFERROR(IFERROR(IFERROR(INDEX(日常水質!$I$5:$N$5,MATCH($A15,日常水質!$I$3:$N$3,0)),INDEX(日常水質!$I$51:$N$51,MATCH($A15,日常水質!$I$49:$N$49,0))),INDEX(日常水質!$I$97:$N$97,MATCH($A15,日常水質!$I$95:$N$95,0))),INDEX(日常水質!$I$143:$N$143,MATCH($A15,日常水質!$I$141:$N$141,0))),INDEX(日常水質!$I$189:$N$189,MATCH($A15,日常水質!$I$187:$N$187,0))),"")</f>
        <v/>
      </c>
      <c r="E15" s="1052">
        <f>IFERROR(IFERROR(IFERROR(IFERROR(IFERROR(INDEX(日常水質!$I$6:$N$6,MATCH($A15,日常水質!$I$3:$N$3,0)),INDEX(日常水質!$I$52:$N$52,MATCH($A15,日常水質!$I$49:$N$49,0))),INDEX(日常水質!$I$98:$N$98,MATCH($A15,日常水質!$I$95:$N$95,0))),INDEX(日常水質!$I$144:$N$144,MATCH($A15,日常水質!$I$141:$N$141,0))),INDEX(日常水質!$I$190:$N$190,MATCH($A15,日常水質!$I$187:$N$187,0))),"")</f>
        <v/>
      </c>
      <c r="F15" s="1052">
        <f>IFERROR(IFERROR(IFERROR(IFERROR(IFERROR(INDEX(日常水質!$I$8:$N$8,MATCH($A15,日常水質!$I$3:$N$3,0)),INDEX(日常水質!$I$54:$N$54,MATCH($A15,日常水質!$I$49:$N$49,0))),INDEX(日常水質!$I$100:$N$100,MATCH($A15,日常水質!$I$95:$N$95,0))),INDEX(日常水質!$I$146:$N$146,MATCH($A15,日常水質!$I$141:$N$141,0))),INDEX(日常水質!$I$192:$N$192,MATCH($A15,日常水質!$I$187:$N$187,0))),"")</f>
        <v/>
      </c>
      <c r="G15" s="1053" t="n"/>
      <c r="H15" s="1060" t="n"/>
      <c r="I15" s="714" t="n"/>
      <c r="J15" s="1055">
        <f>IFERROR(IFERROR(IFERROR(IFERROR(IFERROR(INDEX(日常水質!$I$10:$N$10,MATCH($A15,日常水質!$I$3:$N$3,0)),INDEX(日常水質!$I$56:$N$56,MATCH($A15,日常水質!$I$49:$N$49,0))),INDEX(日常水質!$I$102:$N$102,MATCH($A15,日常水質!$I$95:$N$95,0))),INDEX(日常水質!$I$148:$N$148,MATCH($A15,日常水質!$I$141:$N$141,0))),INDEX(日常水質!$I$194:$N$194,MATCH($A15,日常水質!$I$187:$N$187,0))),"")</f>
        <v/>
      </c>
      <c r="K15" s="1042">
        <f>IF(J15="","",IFERROR((J15-LOOKUP(2,1/(J$6:J14&lt;&gt;""),J$6:J14))/(A15-LOOKUP(2,1/(J$6:J14&lt;&gt;""),A$6:A14)),""))</f>
        <v/>
      </c>
      <c r="L15" s="1043">
        <f>IFERROR(IFERROR(IFERROR(IFERROR(IFERROR(INDEX(日常水質!$I$11:$N$11,MATCH($A15,日常水質!$I$3:$N$3,0)),INDEX(日常水質!$I$57:$N$57,MATCH($A15,日常水質!$I$49:$N$49,0))),INDEX(日常水質!$I$103:$N$103,MATCH($A15,日常水質!$I$95:$N$95,0))),INDEX(日常水質!$I$149:$N$149,MATCH($A15,日常水質!$I$141:$N$141,0))),INDEX(日常水質!$I$195:$N$195,MATCH($A15,日常水質!$I$187:$N$187,0))),"")</f>
        <v/>
      </c>
      <c r="M15" s="1043">
        <f>IF(L15="","",IFERROR((L15-LOOKUP(2,1/(L$6:L14&lt;&gt;""),L$6:L14))/(A15-LOOKUP(2,1/(L$6:L14&lt;&gt;""),A$6:A14)),""))</f>
        <v/>
      </c>
      <c r="N15" s="1061">
        <f>IFERROR(IFERROR(IFERROR(IFERROR(IFERROR(INDEX(日常水質!$I$12:$N$12,MATCH($A15,日常水質!$I$3:$N$3,0)),INDEX(日常水質!$I$58:$N$58,MATCH($A15,日常水質!$I$49:$N$49,0))),INDEX(日常水質!$I$104:$N$104,MATCH($A15,日常水質!$I$95:$N$95,0))),INDEX(日常水質!$I$150:$N$150,MATCH($A15,日常水質!$I$141:$N$141,0))),INDEX(日常水質!$I$196:$N$196,MATCH($A15,日常水質!$I$187:$N$187,0))),"")</f>
        <v/>
      </c>
      <c r="O15" s="1057" t="n"/>
      <c r="P15" s="1058" t="n"/>
      <c r="R15" s="1059" t="n"/>
    </row>
    <row r="16" ht="13.5" customHeight="1" s="614">
      <c r="A16" s="1048">
        <f>IF(ISNUMBER(A15),IF(MONTH(A15+1)=MONTH($A$6),A15+1,""),"")</f>
        <v/>
      </c>
      <c r="B16" s="1049">
        <f>IF(ISNUMBER(A16),A16,"")</f>
        <v/>
      </c>
      <c r="C16" s="1050">
        <f>IFERROR(IFERROR(IFERROR(IFERROR(IFERROR(INDEX(日常水質!$I$4:$N$4,MATCH($A16,日常水質!$I$3:$N$3,0)),INDEX(日常水質!$I$50:$N$50,MATCH($A16,日常水質!$I$49:$N$49,0))),INDEX(日常水質!$I$96:$N$96,MATCH($A16,日常水質!$I$95:$N$95,0))),INDEX(日常水質!$I$142:$N$142,MATCH($A16,日常水質!$I$141:$N$141,0))),INDEX(日常水質!$I$188:$N$188,MATCH($A16,日常水質!$I$187:$N$187,0))),"")</f>
        <v/>
      </c>
      <c r="D16" s="1052">
        <f>IFERROR(IFERROR(IFERROR(IFERROR(IFERROR(INDEX(日常水質!$I$5:$N$5,MATCH($A16,日常水質!$I$3:$N$3,0)),INDEX(日常水質!$I$51:$N$51,MATCH($A16,日常水質!$I$49:$N$49,0))),INDEX(日常水質!$I$97:$N$97,MATCH($A16,日常水質!$I$95:$N$95,0))),INDEX(日常水質!$I$143:$N$143,MATCH($A16,日常水質!$I$141:$N$141,0))),INDEX(日常水質!$I$189:$N$189,MATCH($A16,日常水質!$I$187:$N$187,0))),"")</f>
        <v/>
      </c>
      <c r="E16" s="1052">
        <f>IFERROR(IFERROR(IFERROR(IFERROR(IFERROR(INDEX(日常水質!$I$6:$N$6,MATCH($A16,日常水質!$I$3:$N$3,0)),INDEX(日常水質!$I$52:$N$52,MATCH($A16,日常水質!$I$49:$N$49,0))),INDEX(日常水質!$I$98:$N$98,MATCH($A16,日常水質!$I$95:$N$95,0))),INDEX(日常水質!$I$144:$N$144,MATCH($A16,日常水質!$I$141:$N$141,0))),INDEX(日常水質!$I$190:$N$190,MATCH($A16,日常水質!$I$187:$N$187,0))),"")</f>
        <v/>
      </c>
      <c r="F16" s="1052">
        <f>IFERROR(IFERROR(IFERROR(IFERROR(IFERROR(INDEX(日常水質!$I$8:$N$8,MATCH($A16,日常水質!$I$3:$N$3,0)),INDEX(日常水質!$I$54:$N$54,MATCH($A16,日常水質!$I$49:$N$49,0))),INDEX(日常水質!$I$100:$N$100,MATCH($A16,日常水質!$I$95:$N$95,0))),INDEX(日常水質!$I$146:$N$146,MATCH($A16,日常水質!$I$141:$N$141,0))),INDEX(日常水質!$I$192:$N$192,MATCH($A16,日常水質!$I$187:$N$187,0))),"")</f>
        <v/>
      </c>
      <c r="G16" s="1053" t="n"/>
      <c r="H16" s="714" t="n"/>
      <c r="I16" s="714" t="n"/>
      <c r="J16" s="1055">
        <f>IFERROR(IFERROR(IFERROR(IFERROR(IFERROR(INDEX(日常水質!$I$10:$N$10,MATCH($A16,日常水質!$I$3:$N$3,0)),INDEX(日常水質!$I$56:$N$56,MATCH($A16,日常水質!$I$49:$N$49,0))),INDEX(日常水質!$I$102:$N$102,MATCH($A16,日常水質!$I$95:$N$95,0))),INDEX(日常水質!$I$148:$N$148,MATCH($A16,日常水質!$I$141:$N$141,0))),INDEX(日常水質!$I$194:$N$194,MATCH($A16,日常水質!$I$187:$N$187,0))),"")</f>
        <v/>
      </c>
      <c r="K16" s="1042">
        <f>IF(J16="","",IFERROR((J16-LOOKUP(2,1/(J$6:J15&lt;&gt;""),J$6:J15))/(A16-LOOKUP(2,1/(J$6:J15&lt;&gt;""),A$6:A15)),""))</f>
        <v/>
      </c>
      <c r="L16" s="1043">
        <f>IFERROR(IFERROR(IFERROR(IFERROR(IFERROR(INDEX(日常水質!$I$11:$N$11,MATCH($A16,日常水質!$I$3:$N$3,0)),INDEX(日常水質!$I$57:$N$57,MATCH($A16,日常水質!$I$49:$N$49,0))),INDEX(日常水質!$I$103:$N$103,MATCH($A16,日常水質!$I$95:$N$95,0))),INDEX(日常水質!$I$149:$N$149,MATCH($A16,日常水質!$I$141:$N$141,0))),INDEX(日常水質!$I$195:$N$195,MATCH($A16,日常水質!$I$187:$N$187,0))),"")</f>
        <v/>
      </c>
      <c r="M16" s="1043">
        <f>IF(L16="","",IFERROR((L16-LOOKUP(2,1/(L$6:L15&lt;&gt;""),L$6:L15))/(A16-LOOKUP(2,1/(L$6:L15&lt;&gt;""),A$6:A15)),""))</f>
        <v/>
      </c>
      <c r="N16" s="1061">
        <f>IFERROR(IFERROR(IFERROR(IFERROR(IFERROR(INDEX(日常水質!$I$12:$N$12,MATCH($A16,日常水質!$I$3:$N$3,0)),INDEX(日常水質!$I$58:$N$58,MATCH($A16,日常水質!$I$49:$N$49,0))),INDEX(日常水質!$I$104:$N$104,MATCH($A16,日常水質!$I$95:$N$95,0))),INDEX(日常水質!$I$150:$N$150,MATCH($A16,日常水質!$I$141:$N$141,0))),INDEX(日常水質!$I$196:$N$196,MATCH($A16,日常水質!$I$187:$N$187,0))),"")</f>
        <v/>
      </c>
      <c r="O16" s="1057" t="n"/>
      <c r="R16" s="1059" t="n"/>
    </row>
    <row r="17" ht="13.5" customHeight="1" s="614">
      <c r="A17" s="1048">
        <f>IF(ISNUMBER(A16),IF(MONTH(A16+1)=MONTH($A$6),A16+1,""),"")</f>
        <v/>
      </c>
      <c r="B17" s="1049">
        <f>IF(ISNUMBER(A17),A17,"")</f>
        <v/>
      </c>
      <c r="C17" s="1050">
        <f>IFERROR(IFERROR(IFERROR(IFERROR(IFERROR(INDEX(日常水質!$I$4:$N$4,MATCH($A17,日常水質!$I$3:$N$3,0)),INDEX(日常水質!$I$50:$N$50,MATCH($A17,日常水質!$I$49:$N$49,0))),INDEX(日常水質!$I$96:$N$96,MATCH($A17,日常水質!$I$95:$N$95,0))),INDEX(日常水質!$I$142:$N$142,MATCH($A17,日常水質!$I$141:$N$141,0))),INDEX(日常水質!$I$188:$N$188,MATCH($A17,日常水質!$I$187:$N$187,0))),"")</f>
        <v/>
      </c>
      <c r="D17" s="1052">
        <f>IFERROR(IFERROR(IFERROR(IFERROR(IFERROR(INDEX(日常水質!$I$5:$N$5,MATCH($A17,日常水質!$I$3:$N$3,0)),INDEX(日常水質!$I$51:$N$51,MATCH($A17,日常水質!$I$49:$N$49,0))),INDEX(日常水質!$I$97:$N$97,MATCH($A17,日常水質!$I$95:$N$95,0))),INDEX(日常水質!$I$143:$N$143,MATCH($A17,日常水質!$I$141:$N$141,0))),INDEX(日常水質!$I$189:$N$189,MATCH($A17,日常水質!$I$187:$N$187,0))),"")</f>
        <v/>
      </c>
      <c r="E17" s="1052">
        <f>IFERROR(IFERROR(IFERROR(IFERROR(IFERROR(INDEX(日常水質!$I$6:$N$6,MATCH($A17,日常水質!$I$3:$N$3,0)),INDEX(日常水質!$I$52:$N$52,MATCH($A17,日常水質!$I$49:$N$49,0))),INDEX(日常水質!$I$98:$N$98,MATCH($A17,日常水質!$I$95:$N$95,0))),INDEX(日常水質!$I$144:$N$144,MATCH($A17,日常水質!$I$141:$N$141,0))),INDEX(日常水質!$I$190:$N$190,MATCH($A17,日常水質!$I$187:$N$187,0))),"")</f>
        <v/>
      </c>
      <c r="F17" s="1052">
        <f>IFERROR(IFERROR(IFERROR(IFERROR(IFERROR(INDEX(日常水質!$I$8:$N$8,MATCH($A17,日常水質!$I$3:$N$3,0)),INDEX(日常水質!$I$54:$N$54,MATCH($A17,日常水質!$I$49:$N$49,0))),INDEX(日常水質!$I$100:$N$100,MATCH($A17,日常水質!$I$95:$N$95,0))),INDEX(日常水質!$I$146:$N$146,MATCH($A17,日常水質!$I$141:$N$141,0))),INDEX(日常水質!$I$192:$N$192,MATCH($A17,日常水質!$I$187:$N$187,0))),"")</f>
        <v/>
      </c>
      <c r="G17" s="1053" t="n"/>
      <c r="H17" s="714" t="n"/>
      <c r="I17" s="714" t="n"/>
      <c r="J17" s="1055">
        <f>IFERROR(IFERROR(IFERROR(IFERROR(IFERROR(INDEX(日常水質!$I$10:$N$10,MATCH($A17,日常水質!$I$3:$N$3,0)),INDEX(日常水質!$I$56:$N$56,MATCH($A17,日常水質!$I$49:$N$49,0))),INDEX(日常水質!$I$102:$N$102,MATCH($A17,日常水質!$I$95:$N$95,0))),INDEX(日常水質!$I$148:$N$148,MATCH($A17,日常水質!$I$141:$N$141,0))),INDEX(日常水質!$I$194:$N$194,MATCH($A17,日常水質!$I$187:$N$187,0))),"")</f>
        <v/>
      </c>
      <c r="K17" s="1042">
        <f>IF(J17="","",IFERROR((J17-LOOKUP(2,1/(J$6:J16&lt;&gt;""),J$6:J16))/(A17-LOOKUP(2,1/(J$6:J16&lt;&gt;""),A$6:A16)),""))</f>
        <v/>
      </c>
      <c r="L17" s="1043">
        <f>IFERROR(IFERROR(IFERROR(IFERROR(IFERROR(INDEX(日常水質!$I$11:$N$11,MATCH($A17,日常水質!$I$3:$N$3,0)),INDEX(日常水質!$I$57:$N$57,MATCH($A17,日常水質!$I$49:$N$49,0))),INDEX(日常水質!$I$103:$N$103,MATCH($A17,日常水質!$I$95:$N$95,0))),INDEX(日常水質!$I$149:$N$149,MATCH($A17,日常水質!$I$141:$N$141,0))),INDEX(日常水質!$I$195:$N$195,MATCH($A17,日常水質!$I$187:$N$187,0))),"")</f>
        <v/>
      </c>
      <c r="M17" s="1043">
        <f>IF(L17="","",IFERROR((L17-LOOKUP(2,1/(L$6:L16&lt;&gt;""),L$6:L16))/(A17-LOOKUP(2,1/(L$6:L16&lt;&gt;""),A$6:A16)),""))</f>
        <v/>
      </c>
      <c r="N17" s="1061">
        <f>IFERROR(IFERROR(IFERROR(IFERROR(IFERROR(INDEX(日常水質!$I$12:$N$12,MATCH($A17,日常水質!$I$3:$N$3,0)),INDEX(日常水質!$I$58:$N$58,MATCH($A17,日常水質!$I$49:$N$49,0))),INDEX(日常水質!$I$104:$N$104,MATCH($A17,日常水質!$I$95:$N$95,0))),INDEX(日常水質!$I$150:$N$150,MATCH($A17,日常水質!$I$141:$N$141,0))),INDEX(日常水質!$I$196:$N$196,MATCH($A17,日常水質!$I$187:$N$187,0))),"")</f>
        <v/>
      </c>
      <c r="O17" s="1057" t="n"/>
      <c r="P17" s="1059" t="n"/>
      <c r="R17" s="1059" t="n"/>
    </row>
    <row r="18" ht="13.5" customHeight="1" s="614">
      <c r="A18" s="1048">
        <f>IF(ISNUMBER(A17),IF(MONTH(A17+1)=MONTH($A$6),A17+1,""),"")</f>
        <v/>
      </c>
      <c r="B18" s="1049">
        <f>IF(ISNUMBER(A18),A18,"")</f>
        <v/>
      </c>
      <c r="C18" s="1050">
        <f>IFERROR(IFERROR(IFERROR(IFERROR(IFERROR(INDEX(日常水質!$I$4:$N$4,MATCH($A18,日常水質!$I$3:$N$3,0)),INDEX(日常水質!$I$50:$N$50,MATCH($A18,日常水質!$I$49:$N$49,0))),INDEX(日常水質!$I$96:$N$96,MATCH($A18,日常水質!$I$95:$N$95,0))),INDEX(日常水質!$I$142:$N$142,MATCH($A18,日常水質!$I$141:$N$141,0))),INDEX(日常水質!$I$188:$N$188,MATCH($A18,日常水質!$I$187:$N$187,0))),"")</f>
        <v/>
      </c>
      <c r="D18" s="1052">
        <f>IFERROR(IFERROR(IFERROR(IFERROR(IFERROR(INDEX(日常水質!$I$5:$N$5,MATCH($A18,日常水質!$I$3:$N$3,0)),INDEX(日常水質!$I$51:$N$51,MATCH($A18,日常水質!$I$49:$N$49,0))),INDEX(日常水質!$I$97:$N$97,MATCH($A18,日常水質!$I$95:$N$95,0))),INDEX(日常水質!$I$143:$N$143,MATCH($A18,日常水質!$I$141:$N$141,0))),INDEX(日常水質!$I$189:$N$189,MATCH($A18,日常水質!$I$187:$N$187,0))),"")</f>
        <v/>
      </c>
      <c r="E18" s="1052">
        <f>IFERROR(IFERROR(IFERROR(IFERROR(IFERROR(INDEX(日常水質!$I$6:$N$6,MATCH($A18,日常水質!$I$3:$N$3,0)),INDEX(日常水質!$I$52:$N$52,MATCH($A18,日常水質!$I$49:$N$49,0))),INDEX(日常水質!$I$98:$N$98,MATCH($A18,日常水質!$I$95:$N$95,0))),INDEX(日常水質!$I$144:$N$144,MATCH($A18,日常水質!$I$141:$N$141,0))),INDEX(日常水質!$I$190:$N$190,MATCH($A18,日常水質!$I$187:$N$187,0))),"")</f>
        <v/>
      </c>
      <c r="F18" s="1063">
        <f>IFERROR(IFERROR(IFERROR(IFERROR(IFERROR(INDEX(日常水質!$I$8:$N$8,MATCH($A18,日常水質!$I$3:$N$3,0)),INDEX(日常水質!$I$54:$N$54,MATCH($A18,日常水質!$I$49:$N$49,0))),INDEX(日常水質!$I$100:$N$100,MATCH($A18,日常水質!$I$95:$N$95,0))),INDEX(日常水質!$I$146:$N$146,MATCH($A18,日常水質!$I$141:$N$141,0))),INDEX(日常水質!$I$192:$N$192,MATCH($A18,日常水質!$I$187:$N$187,0))),"")</f>
        <v/>
      </c>
      <c r="G18" s="1053" t="n"/>
      <c r="H18" s="714" t="n"/>
      <c r="I18" s="714" t="n"/>
      <c r="J18" s="1055">
        <f>IFERROR(IFERROR(IFERROR(IFERROR(IFERROR(INDEX(日常水質!$I$10:$N$10,MATCH($A18,日常水質!$I$3:$N$3,0)),INDEX(日常水質!$I$56:$N$56,MATCH($A18,日常水質!$I$49:$N$49,0))),INDEX(日常水質!$I$102:$N$102,MATCH($A18,日常水質!$I$95:$N$95,0))),INDEX(日常水質!$I$148:$N$148,MATCH($A18,日常水質!$I$141:$N$141,0))),INDEX(日常水質!$I$194:$N$194,MATCH($A18,日常水質!$I$187:$N$187,0))),"")</f>
        <v/>
      </c>
      <c r="K18" s="1042">
        <f>IF(J18="","",IFERROR((J18-LOOKUP(2,1/(J$6:J17&lt;&gt;""),J$6:J17))/(A18-LOOKUP(2,1/(J$6:J17&lt;&gt;""),A$6:A17)),""))</f>
        <v/>
      </c>
      <c r="L18" s="1043">
        <f>IFERROR(IFERROR(IFERROR(IFERROR(IFERROR(INDEX(日常水質!$I$11:$N$11,MATCH($A18,日常水質!$I$3:$N$3,0)),INDEX(日常水質!$I$57:$N$57,MATCH($A18,日常水質!$I$49:$N$49,0))),INDEX(日常水質!$I$103:$N$103,MATCH($A18,日常水質!$I$95:$N$95,0))),INDEX(日常水質!$I$149:$N$149,MATCH($A18,日常水質!$I$141:$N$141,0))),INDEX(日常水質!$I$195:$N$195,MATCH($A18,日常水質!$I$187:$N$187,0))),"")</f>
        <v/>
      </c>
      <c r="M18" s="1043">
        <f>IF(L18="","",IFERROR((L18-LOOKUP(2,1/(L$6:L17&lt;&gt;""),L$6:L17))/(A18-LOOKUP(2,1/(L$6:L17&lt;&gt;""),A$6:A17)),""))</f>
        <v/>
      </c>
      <c r="N18" s="1061">
        <f>IFERROR(IFERROR(IFERROR(IFERROR(IFERROR(INDEX(日常水質!$I$12:$N$12,MATCH($A18,日常水質!$I$3:$N$3,0)),INDEX(日常水質!$I$58:$N$58,MATCH($A18,日常水質!$I$49:$N$49,0))),INDEX(日常水質!$I$104:$N$104,MATCH($A18,日常水質!$I$95:$N$95,0))),INDEX(日常水質!$I$150:$N$150,MATCH($A18,日常水質!$I$141:$N$141,0))),INDEX(日常水質!$I$196:$N$196,MATCH($A18,日常水質!$I$187:$N$187,0))),"")</f>
        <v/>
      </c>
      <c r="O18" s="1057" t="n"/>
      <c r="P18" s="1058" t="n"/>
      <c r="R18" s="1059" t="n"/>
    </row>
    <row r="19" ht="13.5" customHeight="1" s="614">
      <c r="A19" s="1048">
        <f>IF(ISNUMBER(A18),IF(MONTH(A18+1)=MONTH($A$6),A18+1,""),"")</f>
        <v/>
      </c>
      <c r="B19" s="1049">
        <f>IF(ISNUMBER(A19),A19,"")</f>
        <v/>
      </c>
      <c r="C19" s="1062">
        <f>IFERROR(IFERROR(IFERROR(IFERROR(IFERROR(INDEX(日常水質!$I$4:$N$4,MATCH($A19,日常水質!$I$3:$N$3,0)),INDEX(日常水質!$I$50:$N$50,MATCH($A19,日常水質!$I$49:$N$49,0))),INDEX(日常水質!$I$96:$N$96,MATCH($A19,日常水質!$I$95:$N$95,0))),INDEX(日常水質!$I$142:$N$142,MATCH($A19,日常水質!$I$141:$N$141,0))),INDEX(日常水質!$I$188:$N$188,MATCH($A19,日常水質!$I$187:$N$187,0))),"")</f>
        <v/>
      </c>
      <c r="D19" s="1052">
        <f>IFERROR(IFERROR(IFERROR(IFERROR(IFERROR(INDEX(日常水質!$I$5:$N$5,MATCH($A19,日常水質!$I$3:$N$3,0)),INDEX(日常水質!$I$51:$N$51,MATCH($A19,日常水質!$I$49:$N$49,0))),INDEX(日常水質!$I$97:$N$97,MATCH($A19,日常水質!$I$95:$N$95,0))),INDEX(日常水質!$I$143:$N$143,MATCH($A19,日常水質!$I$141:$N$141,0))),INDEX(日常水質!$I$189:$N$189,MATCH($A19,日常水質!$I$187:$N$187,0))),"")</f>
        <v/>
      </c>
      <c r="E19" s="1052">
        <f>IFERROR(IFERROR(IFERROR(IFERROR(IFERROR(INDEX(日常水質!$I$6:$N$6,MATCH($A19,日常水質!$I$3:$N$3,0)),INDEX(日常水質!$I$52:$N$52,MATCH($A19,日常水質!$I$49:$N$49,0))),INDEX(日常水質!$I$98:$N$98,MATCH($A19,日常水質!$I$95:$N$95,0))),INDEX(日常水質!$I$144:$N$144,MATCH($A19,日常水質!$I$141:$N$141,0))),INDEX(日常水質!$I$190:$N$190,MATCH($A19,日常水質!$I$187:$N$187,0))),"")</f>
        <v/>
      </c>
      <c r="F19" s="1052">
        <f>IFERROR(IFERROR(IFERROR(IFERROR(IFERROR(INDEX(日常水質!$I$8:$N$8,MATCH($A19,日常水質!$I$3:$N$3,0)),INDEX(日常水質!$I$54:$N$54,MATCH($A19,日常水質!$I$49:$N$49,0))),INDEX(日常水質!$I$100:$N$100,MATCH($A19,日常水質!$I$95:$N$95,0))),INDEX(日常水質!$I$146:$N$146,MATCH($A19,日常水質!$I$141:$N$141,0))),INDEX(日常水質!$I$192:$N$192,MATCH($A19,日常水質!$I$187:$N$187,0))),"")</f>
        <v/>
      </c>
      <c r="G19" s="1053" t="n"/>
      <c r="H19" s="714" t="n"/>
      <c r="I19" s="714" t="n"/>
      <c r="J19" s="1055">
        <f>IFERROR(IFERROR(IFERROR(IFERROR(IFERROR(INDEX(日常水質!$I$10:$N$10,MATCH($A19,日常水質!$I$3:$N$3,0)),INDEX(日常水質!$I$56:$N$56,MATCH($A19,日常水質!$I$49:$N$49,0))),INDEX(日常水質!$I$102:$N$102,MATCH($A19,日常水質!$I$95:$N$95,0))),INDEX(日常水質!$I$148:$N$148,MATCH($A19,日常水質!$I$141:$N$141,0))),INDEX(日常水質!$I$194:$N$194,MATCH($A19,日常水質!$I$187:$N$187,0))),"")</f>
        <v/>
      </c>
      <c r="K19" s="1042">
        <f>IF(J19="","",IFERROR((J19-LOOKUP(2,1/(J$6:J18&lt;&gt;""),J$6:J18))/(A19-LOOKUP(2,1/(J$6:J18&lt;&gt;""),A$6:A18)),""))</f>
        <v/>
      </c>
      <c r="L19" s="1056">
        <f>IFERROR(IFERROR(IFERROR(IFERROR(IFERROR(INDEX(日常水質!$I$11:$N$11,MATCH($A19,日常水質!$I$3:$N$3,0)),INDEX(日常水質!$I$57:$N$57,MATCH($A19,日常水質!$I$49:$N$49,0))),INDEX(日常水質!$I$103:$N$103,MATCH($A19,日常水質!$I$95:$N$95,0))),INDEX(日常水質!$I$149:$N$149,MATCH($A19,日常水質!$I$141:$N$141,0))),INDEX(日常水質!$I$195:$N$195,MATCH($A19,日常水質!$I$187:$N$187,0))),"")</f>
        <v/>
      </c>
      <c r="M19" s="1043">
        <f>IF(L19="","",IFERROR((L19-LOOKUP(2,1/(L$6:L18&lt;&gt;""),L$6:L18))/(A19-LOOKUP(2,1/(L$6:L18&lt;&gt;""),A$6:A18)),""))</f>
        <v/>
      </c>
      <c r="N19" s="1061">
        <f>IFERROR(IFERROR(IFERROR(IFERROR(IFERROR(INDEX(日常水質!$I$12:$N$12,MATCH($A19,日常水質!$I$3:$N$3,0)),INDEX(日常水質!$I$58:$N$58,MATCH($A19,日常水質!$I$49:$N$49,0))),INDEX(日常水質!$I$104:$N$104,MATCH($A19,日常水質!$I$95:$N$95,0))),INDEX(日常水質!$I$150:$N$150,MATCH($A19,日常水質!$I$141:$N$141,0))),INDEX(日常水質!$I$196:$N$196,MATCH($A19,日常水質!$I$187:$N$187,0))),"")</f>
        <v/>
      </c>
      <c r="O19" s="1057" t="n"/>
      <c r="P19" s="1058" t="n"/>
      <c r="R19" s="1059" t="n"/>
      <c r="V19" s="1059" t="n"/>
    </row>
    <row r="20" ht="13.5" customHeight="1" s="614">
      <c r="A20" s="1048">
        <f>IF(ISNUMBER(A19),IF(MONTH(A19+1)=MONTH($A$6),A19+1,""),"")</f>
        <v/>
      </c>
      <c r="B20" s="1049">
        <f>IF(ISNUMBER(A20),A20,"")</f>
        <v/>
      </c>
      <c r="C20" s="1062">
        <f>IFERROR(IFERROR(IFERROR(IFERROR(IFERROR(INDEX(日常水質!$I$4:$N$4,MATCH($A20,日常水質!$I$3:$N$3,0)),INDEX(日常水質!$I$50:$N$50,MATCH($A20,日常水質!$I$49:$N$49,0))),INDEX(日常水質!$I$96:$N$96,MATCH($A20,日常水質!$I$95:$N$95,0))),INDEX(日常水質!$I$142:$N$142,MATCH($A20,日常水質!$I$141:$N$141,0))),INDEX(日常水質!$I$188:$N$188,MATCH($A20,日常水質!$I$187:$N$187,0))),"")</f>
        <v/>
      </c>
      <c r="D20" s="1052">
        <f>IFERROR(IFERROR(IFERROR(IFERROR(IFERROR(INDEX(日常水質!$I$5:$N$5,MATCH($A20,日常水質!$I$3:$N$3,0)),INDEX(日常水質!$I$51:$N$51,MATCH($A20,日常水質!$I$49:$N$49,0))),INDEX(日常水質!$I$97:$N$97,MATCH($A20,日常水質!$I$95:$N$95,0))),INDEX(日常水質!$I$143:$N$143,MATCH($A20,日常水質!$I$141:$N$141,0))),INDEX(日常水質!$I$189:$N$189,MATCH($A20,日常水質!$I$187:$N$187,0))),"")</f>
        <v/>
      </c>
      <c r="E20" s="1052">
        <f>IFERROR(IFERROR(IFERROR(IFERROR(IFERROR(INDEX(日常水質!$I$6:$N$6,MATCH($A20,日常水質!$I$3:$N$3,0)),INDEX(日常水質!$I$52:$N$52,MATCH($A20,日常水質!$I$49:$N$49,0))),INDEX(日常水質!$I$98:$N$98,MATCH($A20,日常水質!$I$95:$N$95,0))),INDEX(日常水質!$I$144:$N$144,MATCH($A20,日常水質!$I$141:$N$141,0))),INDEX(日常水質!$I$190:$N$190,MATCH($A20,日常水質!$I$187:$N$187,0))),"")</f>
        <v/>
      </c>
      <c r="F20" s="1052">
        <f>IFERROR(IFERROR(IFERROR(IFERROR(IFERROR(INDEX(日常水質!$I$8:$N$8,MATCH($A20,日常水質!$I$3:$N$3,0)),INDEX(日常水質!$I$54:$N$54,MATCH($A20,日常水質!$I$49:$N$49,0))),INDEX(日常水質!$I$100:$N$100,MATCH($A20,日常水質!$I$95:$N$95,0))),INDEX(日常水質!$I$146:$N$146,MATCH($A20,日常水質!$I$141:$N$141,0))),INDEX(日常水質!$I$192:$N$192,MATCH($A20,日常水質!$I$187:$N$187,0))),"")</f>
        <v/>
      </c>
      <c r="G20" s="1053" t="n"/>
      <c r="H20" s="714" t="n"/>
      <c r="I20" s="714" t="n"/>
      <c r="J20" s="1055">
        <f>IFERROR(IFERROR(IFERROR(IFERROR(IFERROR(INDEX(日常水質!$I$10:$N$10,MATCH($A20,日常水質!$I$3:$N$3,0)),INDEX(日常水質!$I$56:$N$56,MATCH($A20,日常水質!$I$49:$N$49,0))),INDEX(日常水質!$I$102:$N$102,MATCH($A20,日常水質!$I$95:$N$95,0))),INDEX(日常水質!$I$148:$N$148,MATCH($A20,日常水質!$I$141:$N$141,0))),INDEX(日常水質!$I$194:$N$194,MATCH($A20,日常水質!$I$187:$N$187,0))),"")</f>
        <v/>
      </c>
      <c r="K20" s="1042">
        <f>IF(J20="","",IFERROR((J20-LOOKUP(2,1/(J$6:J19&lt;&gt;""),J$6:J19))/(A20-LOOKUP(2,1/(J$6:J19&lt;&gt;""),A$6:A19)),""))</f>
        <v/>
      </c>
      <c r="L20" s="1056">
        <f>IFERROR(IFERROR(IFERROR(IFERROR(IFERROR(INDEX(日常水質!$I$11:$N$11,MATCH($A20,日常水質!$I$3:$N$3,0)),INDEX(日常水質!$I$57:$N$57,MATCH($A20,日常水質!$I$49:$N$49,0))),INDEX(日常水質!$I$103:$N$103,MATCH($A20,日常水質!$I$95:$N$95,0))),INDEX(日常水質!$I$149:$N$149,MATCH($A20,日常水質!$I$141:$N$141,0))),INDEX(日常水質!$I$195:$N$195,MATCH($A20,日常水質!$I$187:$N$187,0))),"")</f>
        <v/>
      </c>
      <c r="M20" s="1043">
        <f>IF(L20="","",IFERROR((L20-LOOKUP(2,1/(L$6:L19&lt;&gt;""),L$6:L19))/(A20-LOOKUP(2,1/(L$6:L19&lt;&gt;""),A$6:A19)),""))</f>
        <v/>
      </c>
      <c r="N20" s="1061">
        <f>IFERROR(IFERROR(IFERROR(IFERROR(IFERROR(INDEX(日常水質!$I$12:$N$12,MATCH($A20,日常水質!$I$3:$N$3,0)),INDEX(日常水質!$I$58:$N$58,MATCH($A20,日常水質!$I$49:$N$49,0))),INDEX(日常水質!$I$104:$N$104,MATCH($A20,日常水質!$I$95:$N$95,0))),INDEX(日常水質!$I$150:$N$150,MATCH($A20,日常水質!$I$141:$N$141,0))),INDEX(日常水質!$I$196:$N$196,MATCH($A20,日常水質!$I$187:$N$187,0))),"")</f>
        <v/>
      </c>
      <c r="O20" s="1057" t="n"/>
      <c r="P20" s="1059" t="n"/>
      <c r="R20" s="1059" t="n"/>
    </row>
    <row r="21" ht="13.5" customHeight="1" s="614">
      <c r="A21" s="1048">
        <f>IF(ISNUMBER(A20),IF(MONTH(A20+1)=MONTH($A$6),A20+1,""),"")</f>
        <v/>
      </c>
      <c r="B21" s="1049">
        <f>IF(ISNUMBER(A21),A21,"")</f>
        <v/>
      </c>
      <c r="C21" s="1062">
        <f>IFERROR(IFERROR(IFERROR(IFERROR(IFERROR(INDEX(日常水質!$I$4:$N$4,MATCH($A21,日常水質!$I$3:$N$3,0)),INDEX(日常水質!$I$50:$N$50,MATCH($A21,日常水質!$I$49:$N$49,0))),INDEX(日常水質!$I$96:$N$96,MATCH($A21,日常水質!$I$95:$N$95,0))),INDEX(日常水質!$I$142:$N$142,MATCH($A21,日常水質!$I$141:$N$141,0))),INDEX(日常水質!$I$188:$N$188,MATCH($A21,日常水質!$I$187:$N$187,0))),"")</f>
        <v/>
      </c>
      <c r="D21" s="1052">
        <f>IFERROR(IFERROR(IFERROR(IFERROR(IFERROR(INDEX(日常水質!$I$5:$N$5,MATCH($A21,日常水質!$I$3:$N$3,0)),INDEX(日常水質!$I$51:$N$51,MATCH($A21,日常水質!$I$49:$N$49,0))),INDEX(日常水質!$I$97:$N$97,MATCH($A21,日常水質!$I$95:$N$95,0))),INDEX(日常水質!$I$143:$N$143,MATCH($A21,日常水質!$I$141:$N$141,0))),INDEX(日常水質!$I$189:$N$189,MATCH($A21,日常水質!$I$187:$N$187,0))),"")</f>
        <v/>
      </c>
      <c r="E21" s="1052">
        <f>IFERROR(IFERROR(IFERROR(IFERROR(IFERROR(INDEX(日常水質!$I$6:$N$6,MATCH($A21,日常水質!$I$3:$N$3,0)),INDEX(日常水質!$I$52:$N$52,MATCH($A21,日常水質!$I$49:$N$49,0))),INDEX(日常水質!$I$98:$N$98,MATCH($A21,日常水質!$I$95:$N$95,0))),INDEX(日常水質!$I$144:$N$144,MATCH($A21,日常水質!$I$141:$N$141,0))),INDEX(日常水質!$I$190:$N$190,MATCH($A21,日常水質!$I$187:$N$187,0))),"")</f>
        <v/>
      </c>
      <c r="F21" s="1052">
        <f>IFERROR(IFERROR(IFERROR(IFERROR(IFERROR(INDEX(日常水質!$I$8:$N$8,MATCH($A21,日常水質!$I$3:$N$3,0)),INDEX(日常水質!$I$54:$N$54,MATCH($A21,日常水質!$I$49:$N$49,0))),INDEX(日常水質!$I$100:$N$100,MATCH($A21,日常水質!$I$95:$N$95,0))),INDEX(日常水質!$I$146:$N$146,MATCH($A21,日常水質!$I$141:$N$141,0))),INDEX(日常水質!$I$192:$N$192,MATCH($A21,日常水質!$I$187:$N$187,0))),"")</f>
        <v/>
      </c>
      <c r="G21" s="1053" t="n"/>
      <c r="H21" s="1060" t="n"/>
      <c r="I21" s="714" t="n"/>
      <c r="J21" s="1055">
        <f>IFERROR(IFERROR(IFERROR(IFERROR(IFERROR(INDEX(日常水質!$I$10:$N$10,MATCH($A21,日常水質!$I$3:$N$3,0)),INDEX(日常水質!$I$56:$N$56,MATCH($A21,日常水質!$I$49:$N$49,0))),INDEX(日常水質!$I$102:$N$102,MATCH($A21,日常水質!$I$95:$N$95,0))),INDEX(日常水質!$I$148:$N$148,MATCH($A21,日常水質!$I$141:$N$141,0))),INDEX(日常水質!$I$194:$N$194,MATCH($A21,日常水質!$I$187:$N$187,0))),"")</f>
        <v/>
      </c>
      <c r="K21" s="1042">
        <f>IF(J21="","",IFERROR((J21-LOOKUP(2,1/(J$6:J20&lt;&gt;""),J$6:J20))/(A21-LOOKUP(2,1/(J$6:J20&lt;&gt;""),A$6:A20)),""))</f>
        <v/>
      </c>
      <c r="L21" s="1056">
        <f>IFERROR(IFERROR(IFERROR(IFERROR(IFERROR(INDEX(日常水質!$I$11:$N$11,MATCH($A21,日常水質!$I$3:$N$3,0)),INDEX(日常水質!$I$57:$N$57,MATCH($A21,日常水質!$I$49:$N$49,0))),INDEX(日常水質!$I$103:$N$103,MATCH($A21,日常水質!$I$95:$N$95,0))),INDEX(日常水質!$I$149:$N$149,MATCH($A21,日常水質!$I$141:$N$141,0))),INDEX(日常水質!$I$195:$N$195,MATCH($A21,日常水質!$I$187:$N$187,0))),"")</f>
        <v/>
      </c>
      <c r="M21" s="1043">
        <f>IF(L21="","",IFERROR((L21-LOOKUP(2,1/(L$6:L20&lt;&gt;""),L$6:L20))/(A21-LOOKUP(2,1/(L$6:L20&lt;&gt;""),A$6:A20)),""))</f>
        <v/>
      </c>
      <c r="N21" s="1061">
        <f>IFERROR(IFERROR(IFERROR(IFERROR(IFERROR(INDEX(日常水質!$I$12:$N$12,MATCH($A21,日常水質!$I$3:$N$3,0)),INDEX(日常水質!$I$58:$N$58,MATCH($A21,日常水質!$I$49:$N$49,0))),INDEX(日常水質!$I$104:$N$104,MATCH($A21,日常水質!$I$95:$N$95,0))),INDEX(日常水質!$I$150:$N$150,MATCH($A21,日常水質!$I$141:$N$141,0))),INDEX(日常水質!$I$196:$N$196,MATCH($A21,日常水質!$I$187:$N$187,0))),"")</f>
        <v/>
      </c>
      <c r="O21" s="1057" t="n"/>
      <c r="R21" s="1059" t="n"/>
      <c r="T21" s="1058" t="n"/>
      <c r="V21" s="1059" t="n"/>
    </row>
    <row r="22" ht="13.5" customHeight="1" s="614">
      <c r="A22" s="1048">
        <f>IF(ISNUMBER(A21),IF(MONTH(A21+1)=MONTH($A$6),A21+1,""),"")</f>
        <v/>
      </c>
      <c r="B22" s="1049">
        <f>IF(ISNUMBER(A22),A22,"")</f>
        <v/>
      </c>
      <c r="C22" s="1062">
        <f>IFERROR(IFERROR(IFERROR(IFERROR(IFERROR(INDEX(日常水質!$I$4:$N$4,MATCH($A22,日常水質!$I$3:$N$3,0)),INDEX(日常水質!$I$50:$N$50,MATCH($A22,日常水質!$I$49:$N$49,0))),INDEX(日常水質!$I$96:$N$96,MATCH($A22,日常水質!$I$95:$N$95,0))),INDEX(日常水質!$I$142:$N$142,MATCH($A22,日常水質!$I$141:$N$141,0))),INDEX(日常水質!$I$188:$N$188,MATCH($A22,日常水質!$I$187:$N$187,0))),"")</f>
        <v/>
      </c>
      <c r="D22" s="1052">
        <f>IFERROR(IFERROR(IFERROR(IFERROR(IFERROR(INDEX(日常水質!$I$5:$N$5,MATCH($A22,日常水質!$I$3:$N$3,0)),INDEX(日常水質!$I$51:$N$51,MATCH($A22,日常水質!$I$49:$N$49,0))),INDEX(日常水質!$I$97:$N$97,MATCH($A22,日常水質!$I$95:$N$95,0))),INDEX(日常水質!$I$143:$N$143,MATCH($A22,日常水質!$I$141:$N$141,0))),INDEX(日常水質!$I$189:$N$189,MATCH($A22,日常水質!$I$187:$N$187,0))),"")</f>
        <v/>
      </c>
      <c r="E22" s="1052">
        <f>IFERROR(IFERROR(IFERROR(IFERROR(IFERROR(INDEX(日常水質!$I$6:$N$6,MATCH($A22,日常水質!$I$3:$N$3,0)),INDEX(日常水質!$I$52:$N$52,MATCH($A22,日常水質!$I$49:$N$49,0))),INDEX(日常水質!$I$98:$N$98,MATCH($A22,日常水質!$I$95:$N$95,0))),INDEX(日常水質!$I$144:$N$144,MATCH($A22,日常水質!$I$141:$N$141,0))),INDEX(日常水質!$I$190:$N$190,MATCH($A22,日常水質!$I$187:$N$187,0))),"")</f>
        <v/>
      </c>
      <c r="F22" s="1052">
        <f>IFERROR(IFERROR(IFERROR(IFERROR(IFERROR(INDEX(日常水質!$I$8:$N$8,MATCH($A22,日常水質!$I$3:$N$3,0)),INDEX(日常水質!$I$54:$N$54,MATCH($A22,日常水質!$I$49:$N$49,0))),INDEX(日常水質!$I$100:$N$100,MATCH($A22,日常水質!$I$95:$N$95,0))),INDEX(日常水質!$I$146:$N$146,MATCH($A22,日常水質!$I$141:$N$141,0))),INDEX(日常水質!$I$192:$N$192,MATCH($A22,日常水質!$I$187:$N$187,0))),"")</f>
        <v/>
      </c>
      <c r="G22" s="1053" t="n"/>
      <c r="H22" s="1060" t="n"/>
      <c r="I22" s="714" t="n"/>
      <c r="J22" s="1055">
        <f>IFERROR(IFERROR(IFERROR(IFERROR(IFERROR(INDEX(日常水質!$I$10:$N$10,MATCH($A22,日常水質!$I$3:$N$3,0)),INDEX(日常水質!$I$56:$N$56,MATCH($A22,日常水質!$I$49:$N$49,0))),INDEX(日常水質!$I$102:$N$102,MATCH($A22,日常水質!$I$95:$N$95,0))),INDEX(日常水質!$I$148:$N$148,MATCH($A22,日常水質!$I$141:$N$141,0))),INDEX(日常水質!$I$194:$N$194,MATCH($A22,日常水質!$I$187:$N$187,0))),"")</f>
        <v/>
      </c>
      <c r="K22" s="1042">
        <f>IF(J22="","",IFERROR((J22-LOOKUP(2,1/(J$6:J21&lt;&gt;""),J$6:J21))/(A22-LOOKUP(2,1/(J$6:J21&lt;&gt;""),A$6:A21)),""))</f>
        <v/>
      </c>
      <c r="L22" s="1056">
        <f>IFERROR(IFERROR(IFERROR(IFERROR(IFERROR(INDEX(日常水質!$I$11:$N$11,MATCH($A22,日常水質!$I$3:$N$3,0)),INDEX(日常水質!$I$57:$N$57,MATCH($A22,日常水質!$I$49:$N$49,0))),INDEX(日常水質!$I$103:$N$103,MATCH($A22,日常水質!$I$95:$N$95,0))),INDEX(日常水質!$I$149:$N$149,MATCH($A22,日常水質!$I$141:$N$141,0))),INDEX(日常水質!$I$195:$N$195,MATCH($A22,日常水質!$I$187:$N$187,0))),"")</f>
        <v/>
      </c>
      <c r="M22" s="1043">
        <f>IF(L22="","",IFERROR((L22-LOOKUP(2,1/(L$6:L21&lt;&gt;""),L$6:L21))/(A22-LOOKUP(2,1/(L$6:L21&lt;&gt;""),A$6:A21)),""))</f>
        <v/>
      </c>
      <c r="N22" s="1061">
        <f>IFERROR(IFERROR(IFERROR(IFERROR(IFERROR(INDEX(日常水質!$I$12:$N$12,MATCH($A22,日常水質!$I$3:$N$3,0)),INDEX(日常水質!$I$58:$N$58,MATCH($A22,日常水質!$I$49:$N$49,0))),INDEX(日常水質!$I$104:$N$104,MATCH($A22,日常水質!$I$95:$N$95,0))),INDEX(日常水質!$I$150:$N$150,MATCH($A22,日常水質!$I$141:$N$141,0))),INDEX(日常水質!$I$196:$N$196,MATCH($A22,日常水質!$I$187:$N$187,0))),"")</f>
        <v/>
      </c>
      <c r="O22" s="1057" t="n"/>
      <c r="P22" s="1058" t="n"/>
      <c r="R22" s="1059" t="n"/>
    </row>
    <row r="23" ht="13.5" customHeight="1" s="614">
      <c r="A23" s="1048">
        <f>IF(ISNUMBER(A22),IF(MONTH(A22+1)=MONTH($A$6),A22+1,""),"")</f>
        <v/>
      </c>
      <c r="B23" s="1049">
        <f>IF(ISNUMBER(A23),A23,"")</f>
        <v/>
      </c>
      <c r="C23" s="1062">
        <f>IFERROR(IFERROR(IFERROR(IFERROR(IFERROR(INDEX(日常水質!$I$4:$N$4,MATCH($A23,日常水質!$I$3:$N$3,0)),INDEX(日常水質!$I$50:$N$50,MATCH($A23,日常水質!$I$49:$N$49,0))),INDEX(日常水質!$I$96:$N$96,MATCH($A23,日常水質!$I$95:$N$95,0))),INDEX(日常水質!$I$142:$N$142,MATCH($A23,日常水質!$I$141:$N$141,0))),INDEX(日常水質!$I$188:$N$188,MATCH($A23,日常水質!$I$187:$N$187,0))),"")</f>
        <v/>
      </c>
      <c r="D23" s="1052">
        <f>IFERROR(IFERROR(IFERROR(IFERROR(IFERROR(INDEX(日常水質!$I$5:$N$5,MATCH($A23,日常水質!$I$3:$N$3,0)),INDEX(日常水質!$I$51:$N$51,MATCH($A23,日常水質!$I$49:$N$49,0))),INDEX(日常水質!$I$97:$N$97,MATCH($A23,日常水質!$I$95:$N$95,0))),INDEX(日常水質!$I$143:$N$143,MATCH($A23,日常水質!$I$141:$N$141,0))),INDEX(日常水質!$I$189:$N$189,MATCH($A23,日常水質!$I$187:$N$187,0))),"")</f>
        <v/>
      </c>
      <c r="E23" s="1052">
        <f>IFERROR(IFERROR(IFERROR(IFERROR(IFERROR(INDEX(日常水質!$I$6:$N$6,MATCH($A23,日常水質!$I$3:$N$3,0)),INDEX(日常水質!$I$52:$N$52,MATCH($A23,日常水質!$I$49:$N$49,0))),INDEX(日常水質!$I$98:$N$98,MATCH($A23,日常水質!$I$95:$N$95,0))),INDEX(日常水質!$I$144:$N$144,MATCH($A23,日常水質!$I$141:$N$141,0))),INDEX(日常水質!$I$190:$N$190,MATCH($A23,日常水質!$I$187:$N$187,0))),"")</f>
        <v/>
      </c>
      <c r="F23" s="1052">
        <f>IFERROR(IFERROR(IFERROR(IFERROR(IFERROR(INDEX(日常水質!$I$8:$N$8,MATCH($A23,日常水質!$I$3:$N$3,0)),INDEX(日常水質!$I$54:$N$54,MATCH($A23,日常水質!$I$49:$N$49,0))),INDEX(日常水質!$I$100:$N$100,MATCH($A23,日常水質!$I$95:$N$95,0))),INDEX(日常水質!$I$146:$N$146,MATCH($A23,日常水質!$I$141:$N$141,0))),INDEX(日常水質!$I$192:$N$192,MATCH($A23,日常水質!$I$187:$N$187,0))),"")</f>
        <v/>
      </c>
      <c r="G23" s="1053" t="n"/>
      <c r="H23" s="1060" t="n"/>
      <c r="I23" s="714" t="n"/>
      <c r="J23" s="1055">
        <f>IFERROR(IFERROR(IFERROR(IFERROR(IFERROR(INDEX(日常水質!$I$10:$N$10,MATCH($A23,日常水質!$I$3:$N$3,0)),INDEX(日常水質!$I$56:$N$56,MATCH($A23,日常水質!$I$49:$N$49,0))),INDEX(日常水質!$I$102:$N$102,MATCH($A23,日常水質!$I$95:$N$95,0))),INDEX(日常水質!$I$148:$N$148,MATCH($A23,日常水質!$I$141:$N$141,0))),INDEX(日常水質!$I$194:$N$194,MATCH($A23,日常水質!$I$187:$N$187,0))),"")</f>
        <v/>
      </c>
      <c r="K23" s="1042">
        <f>IF(J23="","",IFERROR((J23-LOOKUP(2,1/(J$6:J22&lt;&gt;""),J$6:J22))/(A23-LOOKUP(2,1/(J$6:J22&lt;&gt;""),A$6:A22)),""))</f>
        <v/>
      </c>
      <c r="L23" s="1056">
        <f>IFERROR(IFERROR(IFERROR(IFERROR(IFERROR(INDEX(日常水質!$I$11:$N$11,MATCH($A23,日常水質!$I$3:$N$3,0)),INDEX(日常水質!$I$57:$N$57,MATCH($A23,日常水質!$I$49:$N$49,0))),INDEX(日常水質!$I$103:$N$103,MATCH($A23,日常水質!$I$95:$N$95,0))),INDEX(日常水質!$I$149:$N$149,MATCH($A23,日常水質!$I$141:$N$141,0))),INDEX(日常水質!$I$195:$N$195,MATCH($A23,日常水質!$I$187:$N$187,0))),"")</f>
        <v/>
      </c>
      <c r="M23" s="1043">
        <f>IF(L23="","",IFERROR((L23-LOOKUP(2,1/(L$6:L22&lt;&gt;""),L$6:L22))/(A23-LOOKUP(2,1/(L$6:L22&lt;&gt;""),A$6:A22)),""))</f>
        <v/>
      </c>
      <c r="N23" s="1061">
        <f>IFERROR(IFERROR(IFERROR(IFERROR(IFERROR(INDEX(日常水質!$I$12:$N$12,MATCH($A23,日常水質!$I$3:$N$3,0)),INDEX(日常水質!$I$58:$N$58,MATCH($A23,日常水質!$I$49:$N$49,0))),INDEX(日常水質!$I$104:$N$104,MATCH($A23,日常水質!$I$95:$N$95,0))),INDEX(日常水質!$I$150:$N$150,MATCH($A23,日常水質!$I$141:$N$141,0))),INDEX(日常水質!$I$196:$N$196,MATCH($A23,日常水質!$I$187:$N$187,0))),"")</f>
        <v/>
      </c>
      <c r="O23" s="1057" t="n"/>
      <c r="R23" s="1059" t="n"/>
    </row>
    <row r="24" ht="13.5" customHeight="1" s="614">
      <c r="A24" s="1048">
        <f>IF(ISNUMBER(A23),IF(MONTH(A23+1)=MONTH($A$6),A23+1,""),"")</f>
        <v/>
      </c>
      <c r="B24" s="1049">
        <f>IF(ISNUMBER(A24),A24,"")</f>
        <v/>
      </c>
      <c r="C24" s="1062">
        <f>IFERROR(IFERROR(IFERROR(IFERROR(IFERROR(INDEX(日常水質!$I$4:$N$4,MATCH($A24,日常水質!$I$3:$N$3,0)),INDEX(日常水質!$I$50:$N$50,MATCH($A24,日常水質!$I$49:$N$49,0))),INDEX(日常水質!$I$96:$N$96,MATCH($A24,日常水質!$I$95:$N$95,0))),INDEX(日常水質!$I$142:$N$142,MATCH($A24,日常水質!$I$141:$N$141,0))),INDEX(日常水質!$I$188:$N$188,MATCH($A24,日常水質!$I$187:$N$187,0))),"")</f>
        <v/>
      </c>
      <c r="D24" s="1052">
        <f>IFERROR(IFERROR(IFERROR(IFERROR(IFERROR(INDEX(日常水質!$I$5:$N$5,MATCH($A24,日常水質!$I$3:$N$3,0)),INDEX(日常水質!$I$51:$N$51,MATCH($A24,日常水質!$I$49:$N$49,0))),INDEX(日常水質!$I$97:$N$97,MATCH($A24,日常水質!$I$95:$N$95,0))),INDEX(日常水質!$I$143:$N$143,MATCH($A24,日常水質!$I$141:$N$141,0))),INDEX(日常水質!$I$189:$N$189,MATCH($A24,日常水質!$I$187:$N$187,0))),"")</f>
        <v/>
      </c>
      <c r="E24" s="1052">
        <f>IFERROR(IFERROR(IFERROR(IFERROR(IFERROR(INDEX(日常水質!$I$6:$N$6,MATCH($A24,日常水質!$I$3:$N$3,0)),INDEX(日常水質!$I$52:$N$52,MATCH($A24,日常水質!$I$49:$N$49,0))),INDEX(日常水質!$I$98:$N$98,MATCH($A24,日常水質!$I$95:$N$95,0))),INDEX(日常水質!$I$144:$N$144,MATCH($A24,日常水質!$I$141:$N$141,0))),INDEX(日常水質!$I$190:$N$190,MATCH($A24,日常水質!$I$187:$N$187,0))),"")</f>
        <v/>
      </c>
      <c r="F24" s="1052">
        <f>IFERROR(IFERROR(IFERROR(IFERROR(IFERROR(INDEX(日常水質!$I$8:$N$8,MATCH($A24,日常水質!$I$3:$N$3,0)),INDEX(日常水質!$I$54:$N$54,MATCH($A24,日常水質!$I$49:$N$49,0))),INDEX(日常水質!$I$100:$N$100,MATCH($A24,日常水質!$I$95:$N$95,0))),INDEX(日常水質!$I$146:$N$146,MATCH($A24,日常水質!$I$141:$N$141,0))),INDEX(日常水質!$I$192:$N$192,MATCH($A24,日常水質!$I$187:$N$187,0))),"")</f>
        <v/>
      </c>
      <c r="G24" s="1053" t="n"/>
      <c r="H24" s="714" t="n"/>
      <c r="I24" s="1060" t="n"/>
      <c r="J24" s="1055">
        <f>IFERROR(IFERROR(IFERROR(IFERROR(IFERROR(INDEX(日常水質!$I$10:$N$10,MATCH($A24,日常水質!$I$3:$N$3,0)),INDEX(日常水質!$I$56:$N$56,MATCH($A24,日常水質!$I$49:$N$49,0))),INDEX(日常水質!$I$102:$N$102,MATCH($A24,日常水質!$I$95:$N$95,0))),INDEX(日常水質!$I$148:$N$148,MATCH($A24,日常水質!$I$141:$N$141,0))),INDEX(日常水質!$I$194:$N$194,MATCH($A24,日常水質!$I$187:$N$187,0))),"")</f>
        <v/>
      </c>
      <c r="K24" s="1042">
        <f>IF(J24="","",IFERROR((J24-LOOKUP(2,1/(J$6:J23&lt;&gt;""),J$6:J23))/(A24-LOOKUP(2,1/(J$6:J23&lt;&gt;""),A$6:A23)),""))</f>
        <v/>
      </c>
      <c r="L24" s="1056">
        <f>IFERROR(IFERROR(IFERROR(IFERROR(IFERROR(INDEX(日常水質!$I$11:$N$11,MATCH($A24,日常水質!$I$3:$N$3,0)),INDEX(日常水質!$I$57:$N$57,MATCH($A24,日常水質!$I$49:$N$49,0))),INDEX(日常水質!$I$103:$N$103,MATCH($A24,日常水質!$I$95:$N$95,0))),INDEX(日常水質!$I$149:$N$149,MATCH($A24,日常水質!$I$141:$N$141,0))),INDEX(日常水質!$I$195:$N$195,MATCH($A24,日常水質!$I$187:$N$187,0))),"")</f>
        <v/>
      </c>
      <c r="M24" s="1043">
        <f>IF(L24="","",IFERROR((L24-LOOKUP(2,1/(L$6:L23&lt;&gt;""),L$6:L23))/(A24-LOOKUP(2,1/(L$6:L23&lt;&gt;""),A$6:A23)),""))</f>
        <v/>
      </c>
      <c r="N24" s="1061">
        <f>IFERROR(IFERROR(IFERROR(IFERROR(IFERROR(INDEX(日常水質!$I$12:$N$12,MATCH($A24,日常水質!$I$3:$N$3,0)),INDEX(日常水質!$I$58:$N$58,MATCH($A24,日常水質!$I$49:$N$49,0))),INDEX(日常水質!$I$104:$N$104,MATCH($A24,日常水質!$I$95:$N$95,0))),INDEX(日常水質!$I$150:$N$150,MATCH($A24,日常水質!$I$141:$N$141,0))),INDEX(日常水質!$I$196:$N$196,MATCH($A24,日常水質!$I$187:$N$187,0))),"")</f>
        <v/>
      </c>
      <c r="O24" s="1057" t="n"/>
      <c r="P24" s="1058" t="n"/>
      <c r="R24" s="1059" t="n"/>
    </row>
    <row r="25" ht="13.5" customHeight="1" s="614">
      <c r="A25" s="1048">
        <f>IF(ISNUMBER(A24),IF(MONTH(A24+1)=MONTH($A$6),A24+1,""),"")</f>
        <v/>
      </c>
      <c r="B25" s="1049">
        <f>IF(ISNUMBER(A25),A25,"")</f>
        <v/>
      </c>
      <c r="C25" s="1062">
        <f>IFERROR(IFERROR(IFERROR(IFERROR(IFERROR(INDEX(日常水質!$I$4:$N$4,MATCH($A25,日常水質!$I$3:$N$3,0)),INDEX(日常水質!$I$50:$N$50,MATCH($A25,日常水質!$I$49:$N$49,0))),INDEX(日常水質!$I$96:$N$96,MATCH($A25,日常水質!$I$95:$N$95,0))),INDEX(日常水質!$I$142:$N$142,MATCH($A25,日常水質!$I$141:$N$141,0))),INDEX(日常水質!$I$188:$N$188,MATCH($A25,日常水質!$I$187:$N$187,0))),"")</f>
        <v/>
      </c>
      <c r="D25" s="1052">
        <f>IFERROR(IFERROR(IFERROR(IFERROR(IFERROR(INDEX(日常水質!$I$5:$N$5,MATCH($A25,日常水質!$I$3:$N$3,0)),INDEX(日常水質!$I$51:$N$51,MATCH($A25,日常水質!$I$49:$N$49,0))),INDEX(日常水質!$I$97:$N$97,MATCH($A25,日常水質!$I$95:$N$95,0))),INDEX(日常水質!$I$143:$N$143,MATCH($A25,日常水質!$I$141:$N$141,0))),INDEX(日常水質!$I$189:$N$189,MATCH($A25,日常水質!$I$187:$N$187,0))),"")</f>
        <v/>
      </c>
      <c r="E25" s="1052">
        <f>IFERROR(IFERROR(IFERROR(IFERROR(IFERROR(INDEX(日常水質!$I$6:$N$6,MATCH($A25,日常水質!$I$3:$N$3,0)),INDEX(日常水質!$I$52:$N$52,MATCH($A25,日常水質!$I$49:$N$49,0))),INDEX(日常水質!$I$98:$N$98,MATCH($A25,日常水質!$I$95:$N$95,0))),INDEX(日常水質!$I$144:$N$144,MATCH($A25,日常水質!$I$141:$N$141,0))),INDEX(日常水質!$I$190:$N$190,MATCH($A25,日常水質!$I$187:$N$187,0))),"")</f>
        <v/>
      </c>
      <c r="F25" s="1052">
        <f>IFERROR(IFERROR(IFERROR(IFERROR(IFERROR(INDEX(日常水質!$I$8:$N$8,MATCH($A25,日常水質!$I$3:$N$3,0)),INDEX(日常水質!$I$54:$N$54,MATCH($A25,日常水質!$I$49:$N$49,0))),INDEX(日常水質!$I$100:$N$100,MATCH($A25,日常水質!$I$95:$N$95,0))),INDEX(日常水質!$I$146:$N$146,MATCH($A25,日常水質!$I$141:$N$141,0))),INDEX(日常水質!$I$192:$N$192,MATCH($A25,日常水質!$I$187:$N$187,0))),"")</f>
        <v/>
      </c>
      <c r="G25" s="1053" t="n"/>
      <c r="H25" s="714" t="n"/>
      <c r="I25" s="1060" t="n"/>
      <c r="J25" s="1055">
        <f>IFERROR(IFERROR(IFERROR(IFERROR(IFERROR(INDEX(日常水質!$I$10:$N$10,MATCH($A25,日常水質!$I$3:$N$3,0)),INDEX(日常水質!$I$56:$N$56,MATCH($A25,日常水質!$I$49:$N$49,0))),INDEX(日常水質!$I$102:$N$102,MATCH($A25,日常水質!$I$95:$N$95,0))),INDEX(日常水質!$I$148:$N$148,MATCH($A25,日常水質!$I$141:$N$141,0))),INDEX(日常水質!$I$194:$N$194,MATCH($A25,日常水質!$I$187:$N$187,0))),"")</f>
        <v/>
      </c>
      <c r="K25" s="1042">
        <f>IF(J25="","",IFERROR((J25-LOOKUP(2,1/(J$6:J24&lt;&gt;""),J$6:J24))/(A25-LOOKUP(2,1/(J$6:J24&lt;&gt;""),A$6:A24)),""))</f>
        <v/>
      </c>
      <c r="L25" s="1056">
        <f>IFERROR(IFERROR(IFERROR(IFERROR(IFERROR(INDEX(日常水質!$I$11:$N$11,MATCH($A25,日常水質!$I$3:$N$3,0)),INDEX(日常水質!$I$57:$N$57,MATCH($A25,日常水質!$I$49:$N$49,0))),INDEX(日常水質!$I$103:$N$103,MATCH($A25,日常水質!$I$95:$N$95,0))),INDEX(日常水質!$I$149:$N$149,MATCH($A25,日常水質!$I$141:$N$141,0))),INDEX(日常水質!$I$195:$N$195,MATCH($A25,日常水質!$I$187:$N$187,0))),"")</f>
        <v/>
      </c>
      <c r="M25" s="1043">
        <f>IF(L25="","",IFERROR((L25-LOOKUP(2,1/(L$6:L24&lt;&gt;""),L$6:L24))/(A25-LOOKUP(2,1/(L$6:L24&lt;&gt;""),A$6:A24)),""))</f>
        <v/>
      </c>
      <c r="N25" s="1061">
        <f>IFERROR(IFERROR(IFERROR(IFERROR(IFERROR(INDEX(日常水質!$I$12:$N$12,MATCH($A25,日常水質!$I$3:$N$3,0)),INDEX(日常水質!$I$58:$N$58,MATCH($A25,日常水質!$I$49:$N$49,0))),INDEX(日常水質!$I$104:$N$104,MATCH($A25,日常水質!$I$95:$N$95,0))),INDEX(日常水質!$I$150:$N$150,MATCH($A25,日常水質!$I$141:$N$141,0))),INDEX(日常水質!$I$196:$N$196,MATCH($A25,日常水質!$I$187:$N$187,0))),"")</f>
        <v/>
      </c>
      <c r="O25" s="1057" t="n"/>
      <c r="P25" s="1058" t="n"/>
      <c r="R25" s="1059" t="n"/>
    </row>
    <row r="26" ht="13.5" customHeight="1" s="614">
      <c r="A26" s="1048">
        <f>IF(ISNUMBER(A25),IF(MONTH(A25+1)=MONTH($A$6),A25+1,""),"")</f>
        <v/>
      </c>
      <c r="B26" s="1049">
        <f>IF(ISNUMBER(A26),A26,"")</f>
        <v/>
      </c>
      <c r="C26" s="1062">
        <f>IFERROR(IFERROR(IFERROR(IFERROR(IFERROR(INDEX(日常水質!$I$4:$N$4,MATCH($A26,日常水質!$I$3:$N$3,0)),INDEX(日常水質!$I$50:$N$50,MATCH($A26,日常水質!$I$49:$N$49,0))),INDEX(日常水質!$I$96:$N$96,MATCH($A26,日常水質!$I$95:$N$95,0))),INDEX(日常水質!$I$142:$N$142,MATCH($A26,日常水質!$I$141:$N$141,0))),INDEX(日常水質!$I$188:$N$188,MATCH($A26,日常水質!$I$187:$N$187,0))),"")</f>
        <v/>
      </c>
      <c r="D26" s="1052">
        <f>IFERROR(IFERROR(IFERROR(IFERROR(IFERROR(INDEX(日常水質!$I$5:$N$5,MATCH($A26,日常水質!$I$3:$N$3,0)),INDEX(日常水質!$I$51:$N$51,MATCH($A26,日常水質!$I$49:$N$49,0))),INDEX(日常水質!$I$97:$N$97,MATCH($A26,日常水質!$I$95:$N$95,0))),INDEX(日常水質!$I$143:$N$143,MATCH($A26,日常水質!$I$141:$N$141,0))),INDEX(日常水質!$I$189:$N$189,MATCH($A26,日常水質!$I$187:$N$187,0))),"")</f>
        <v/>
      </c>
      <c r="E26" s="1052">
        <f>IFERROR(IFERROR(IFERROR(IFERROR(IFERROR(INDEX(日常水質!$I$6:$N$6,MATCH($A26,日常水質!$I$3:$N$3,0)),INDEX(日常水質!$I$52:$N$52,MATCH($A26,日常水質!$I$49:$N$49,0))),INDEX(日常水質!$I$98:$N$98,MATCH($A26,日常水質!$I$95:$N$95,0))),INDEX(日常水質!$I$144:$N$144,MATCH($A26,日常水質!$I$141:$N$141,0))),INDEX(日常水質!$I$190:$N$190,MATCH($A26,日常水質!$I$187:$N$187,0))),"")</f>
        <v/>
      </c>
      <c r="F26" s="1052">
        <f>IFERROR(IFERROR(IFERROR(IFERROR(IFERROR(INDEX(日常水質!$I$8:$N$8,MATCH($A26,日常水質!$I$3:$N$3,0)),INDEX(日常水質!$I$54:$N$54,MATCH($A26,日常水質!$I$49:$N$49,0))),INDEX(日常水質!$I$100:$N$100,MATCH($A26,日常水質!$I$95:$N$95,0))),INDEX(日常水質!$I$146:$N$146,MATCH($A26,日常水質!$I$141:$N$141,0))),INDEX(日常水質!$I$192:$N$192,MATCH($A26,日常水質!$I$187:$N$187,0))),"")</f>
        <v/>
      </c>
      <c r="G26" s="1053" t="n"/>
      <c r="H26" s="1060" t="n"/>
      <c r="I26" s="714" t="n"/>
      <c r="J26" s="1055">
        <f>IFERROR(IFERROR(IFERROR(IFERROR(IFERROR(INDEX(日常水質!$I$10:$N$10,MATCH($A26,日常水質!$I$3:$N$3,0)),INDEX(日常水質!$I$56:$N$56,MATCH($A26,日常水質!$I$49:$N$49,0))),INDEX(日常水質!$I$102:$N$102,MATCH($A26,日常水質!$I$95:$N$95,0))),INDEX(日常水質!$I$148:$N$148,MATCH($A26,日常水質!$I$141:$N$141,0))),INDEX(日常水質!$I$194:$N$194,MATCH($A26,日常水質!$I$187:$N$187,0))),"")</f>
        <v/>
      </c>
      <c r="K26" s="1042">
        <f>IF(J26="","",IFERROR((J26-LOOKUP(2,1/(J$6:J25&lt;&gt;""),J$6:J25))/(A26-LOOKUP(2,1/(J$6:J25&lt;&gt;""),A$6:A25)),""))</f>
        <v/>
      </c>
      <c r="L26" s="1056">
        <f>IFERROR(IFERROR(IFERROR(IFERROR(IFERROR(INDEX(日常水質!$I$11:$N$11,MATCH($A26,日常水質!$I$3:$N$3,0)),INDEX(日常水質!$I$57:$N$57,MATCH($A26,日常水質!$I$49:$N$49,0))),INDEX(日常水質!$I$103:$N$103,MATCH($A26,日常水質!$I$95:$N$95,0))),INDEX(日常水質!$I$149:$N$149,MATCH($A26,日常水質!$I$141:$N$141,0))),INDEX(日常水質!$I$195:$N$195,MATCH($A26,日常水質!$I$187:$N$187,0))),"")</f>
        <v/>
      </c>
      <c r="M26" s="1043">
        <f>IF(L26="","",IFERROR((L26-LOOKUP(2,1/(L$6:L25&lt;&gt;""),L$6:L25))/(A26-LOOKUP(2,1/(L$6:L25&lt;&gt;""),A$6:A25)),""))</f>
        <v/>
      </c>
      <c r="N26" s="1061">
        <f>IFERROR(IFERROR(IFERROR(IFERROR(IFERROR(INDEX(日常水質!$I$12:$N$12,MATCH($A26,日常水質!$I$3:$N$3,0)),INDEX(日常水質!$I$58:$N$58,MATCH($A26,日常水質!$I$49:$N$49,0))),INDEX(日常水質!$I$104:$N$104,MATCH($A26,日常水質!$I$95:$N$95,0))),INDEX(日常水質!$I$150:$N$150,MATCH($A26,日常水質!$I$141:$N$141,0))),INDEX(日常水質!$I$196:$N$196,MATCH($A26,日常水質!$I$187:$N$187,0))),"")</f>
        <v/>
      </c>
      <c r="O26" s="1057" t="n"/>
      <c r="P26" s="1059" t="n"/>
      <c r="R26" s="1059" t="n"/>
    </row>
    <row r="27" ht="13.5" customHeight="1" s="614">
      <c r="A27" s="1048">
        <f>IF(ISNUMBER(A26),IF(MONTH(A26+1)=MONTH($A$6),A26+1,""),"")</f>
        <v/>
      </c>
      <c r="B27" s="1049">
        <f>IF(ISNUMBER(A27),A27,"")</f>
        <v/>
      </c>
      <c r="C27" s="1062">
        <f>IFERROR(IFERROR(IFERROR(IFERROR(IFERROR(INDEX(日常水質!$I$4:$N$4,MATCH($A27,日常水質!$I$3:$N$3,0)),INDEX(日常水質!$I$50:$N$50,MATCH($A27,日常水質!$I$49:$N$49,0))),INDEX(日常水質!$I$96:$N$96,MATCH($A27,日常水質!$I$95:$N$95,0))),INDEX(日常水質!$I$142:$N$142,MATCH($A27,日常水質!$I$141:$N$141,0))),INDEX(日常水質!$I$188:$N$188,MATCH($A27,日常水質!$I$187:$N$187,0))),"")</f>
        <v/>
      </c>
      <c r="D27" s="1052">
        <f>IFERROR(IFERROR(IFERROR(IFERROR(IFERROR(INDEX(日常水質!$I$5:$N$5,MATCH($A27,日常水質!$I$3:$N$3,0)),INDEX(日常水質!$I$51:$N$51,MATCH($A27,日常水質!$I$49:$N$49,0))),INDEX(日常水質!$I$97:$N$97,MATCH($A27,日常水質!$I$95:$N$95,0))),INDEX(日常水質!$I$143:$N$143,MATCH($A27,日常水質!$I$141:$N$141,0))),INDEX(日常水質!$I$189:$N$189,MATCH($A27,日常水質!$I$187:$N$187,0))),"")</f>
        <v/>
      </c>
      <c r="E27" s="1052">
        <f>IFERROR(IFERROR(IFERROR(IFERROR(IFERROR(INDEX(日常水質!$I$6:$N$6,MATCH($A27,日常水質!$I$3:$N$3,0)),INDEX(日常水質!$I$52:$N$52,MATCH($A27,日常水質!$I$49:$N$49,0))),INDEX(日常水質!$I$98:$N$98,MATCH($A27,日常水質!$I$95:$N$95,0))),INDEX(日常水質!$I$144:$N$144,MATCH($A27,日常水質!$I$141:$N$141,0))),INDEX(日常水質!$I$190:$N$190,MATCH($A27,日常水質!$I$187:$N$187,0))),"")</f>
        <v/>
      </c>
      <c r="F27" s="1052">
        <f>IFERROR(IFERROR(IFERROR(IFERROR(IFERROR(INDEX(日常水質!$I$8:$N$8,MATCH($A27,日常水質!$I$3:$N$3,0)),INDEX(日常水質!$I$54:$N$54,MATCH($A27,日常水質!$I$49:$N$49,0))),INDEX(日常水質!$I$100:$N$100,MATCH($A27,日常水質!$I$95:$N$95,0))),INDEX(日常水質!$I$146:$N$146,MATCH($A27,日常水質!$I$141:$N$141,0))),INDEX(日常水質!$I$192:$N$192,MATCH($A27,日常水質!$I$187:$N$187,0))),"")</f>
        <v/>
      </c>
      <c r="G27" s="1053" t="n"/>
      <c r="H27" s="714" t="n"/>
      <c r="I27" s="1060" t="n"/>
      <c r="J27" s="1055">
        <f>IFERROR(IFERROR(IFERROR(IFERROR(IFERROR(INDEX(日常水質!$I$10:$N$10,MATCH($A27,日常水質!$I$3:$N$3,0)),INDEX(日常水質!$I$56:$N$56,MATCH($A27,日常水質!$I$49:$N$49,0))),INDEX(日常水質!$I$102:$N$102,MATCH($A27,日常水質!$I$95:$N$95,0))),INDEX(日常水質!$I$148:$N$148,MATCH($A27,日常水質!$I$141:$N$141,0))),INDEX(日常水質!$I$194:$N$194,MATCH($A27,日常水質!$I$187:$N$187,0))),"")</f>
        <v/>
      </c>
      <c r="K27" s="1042">
        <f>IF(J27="","",IFERROR((J27-LOOKUP(2,1/(J$6:J26&lt;&gt;""),J$6:J26))/(A27-LOOKUP(2,1/(J$6:J26&lt;&gt;""),A$6:A26)),""))</f>
        <v/>
      </c>
      <c r="L27" s="1056">
        <f>IFERROR(IFERROR(IFERROR(IFERROR(IFERROR(INDEX(日常水質!$I$11:$N$11,MATCH($A27,日常水質!$I$3:$N$3,0)),INDEX(日常水質!$I$57:$N$57,MATCH($A27,日常水質!$I$49:$N$49,0))),INDEX(日常水質!$I$103:$N$103,MATCH($A27,日常水質!$I$95:$N$95,0))),INDEX(日常水質!$I$149:$N$149,MATCH($A27,日常水質!$I$141:$N$141,0))),INDEX(日常水質!$I$195:$N$195,MATCH($A27,日常水質!$I$187:$N$187,0))),"")</f>
        <v/>
      </c>
      <c r="M27" s="1043">
        <f>IF(L27="","",IFERROR((L27-LOOKUP(2,1/(L$6:L26&lt;&gt;""),L$6:L26))/(A27-LOOKUP(2,1/(L$6:L26&lt;&gt;""),A$6:A26)),""))</f>
        <v/>
      </c>
      <c r="N27" s="1061">
        <f>IFERROR(IFERROR(IFERROR(IFERROR(IFERROR(INDEX(日常水質!$I$12:$N$12,MATCH($A27,日常水質!$I$3:$N$3,0)),INDEX(日常水質!$I$58:$N$58,MATCH($A27,日常水質!$I$49:$N$49,0))),INDEX(日常水質!$I$104:$N$104,MATCH($A27,日常水質!$I$95:$N$95,0))),INDEX(日常水質!$I$150:$N$150,MATCH($A27,日常水質!$I$141:$N$141,0))),INDEX(日常水質!$I$196:$N$196,MATCH($A27,日常水質!$I$187:$N$187,0))),"")</f>
        <v/>
      </c>
      <c r="O27" s="763" t="n"/>
    </row>
    <row r="28" ht="13.5" customHeight="1" s="614">
      <c r="A28" s="1048">
        <f>IF(ISNUMBER(A27),IF(MONTH(A27+1)=MONTH($A$6),A27+1,""),"")</f>
        <v/>
      </c>
      <c r="B28" s="1049">
        <f>IF(ISNUMBER(A28),A28,"")</f>
        <v/>
      </c>
      <c r="C28" s="1062">
        <f>IFERROR(IFERROR(IFERROR(IFERROR(IFERROR(INDEX(日常水質!$I$4:$N$4,MATCH($A28,日常水質!$I$3:$N$3,0)),INDEX(日常水質!$I$50:$N$50,MATCH($A28,日常水質!$I$49:$N$49,0))),INDEX(日常水質!$I$96:$N$96,MATCH($A28,日常水質!$I$95:$N$95,0))),INDEX(日常水質!$I$142:$N$142,MATCH($A28,日常水質!$I$141:$N$141,0))),INDEX(日常水質!$I$188:$N$188,MATCH($A28,日常水質!$I$187:$N$187,0))),"")</f>
        <v/>
      </c>
      <c r="D28" s="1052">
        <f>IFERROR(IFERROR(IFERROR(IFERROR(IFERROR(INDEX(日常水質!$I$5:$N$5,MATCH($A28,日常水質!$I$3:$N$3,0)),INDEX(日常水質!$I$51:$N$51,MATCH($A28,日常水質!$I$49:$N$49,0))),INDEX(日常水質!$I$97:$N$97,MATCH($A28,日常水質!$I$95:$N$95,0))),INDEX(日常水質!$I$143:$N$143,MATCH($A28,日常水質!$I$141:$N$141,0))),INDEX(日常水質!$I$189:$N$189,MATCH($A28,日常水質!$I$187:$N$187,0))),"")</f>
        <v/>
      </c>
      <c r="E28" s="1052">
        <f>IFERROR(IFERROR(IFERROR(IFERROR(IFERROR(INDEX(日常水質!$I$6:$N$6,MATCH($A28,日常水質!$I$3:$N$3,0)),INDEX(日常水質!$I$52:$N$52,MATCH($A28,日常水質!$I$49:$N$49,0))),INDEX(日常水質!$I$98:$N$98,MATCH($A28,日常水質!$I$95:$N$95,0))),INDEX(日常水質!$I$144:$N$144,MATCH($A28,日常水質!$I$141:$N$141,0))),INDEX(日常水質!$I$190:$N$190,MATCH($A28,日常水質!$I$187:$N$187,0))),"")</f>
        <v/>
      </c>
      <c r="F28" s="1052">
        <f>IFERROR(IFERROR(IFERROR(IFERROR(IFERROR(INDEX(日常水質!$I$8:$N$8,MATCH($A28,日常水質!$I$3:$N$3,0)),INDEX(日常水質!$I$54:$N$54,MATCH($A28,日常水質!$I$49:$N$49,0))),INDEX(日常水質!$I$100:$N$100,MATCH($A28,日常水質!$I$95:$N$95,0))),INDEX(日常水質!$I$146:$N$146,MATCH($A28,日常水質!$I$141:$N$141,0))),INDEX(日常水質!$I$192:$N$192,MATCH($A28,日常水質!$I$187:$N$187,0))),"")</f>
        <v/>
      </c>
      <c r="G28" s="1053" t="n"/>
      <c r="H28" s="714" t="n"/>
      <c r="I28" s="714" t="n"/>
      <c r="J28" s="1055">
        <f>IFERROR(IFERROR(IFERROR(IFERROR(IFERROR(INDEX(日常水質!$I$10:$N$10,MATCH($A28,日常水質!$I$3:$N$3,0)),INDEX(日常水質!$I$56:$N$56,MATCH($A28,日常水質!$I$49:$N$49,0))),INDEX(日常水質!$I$102:$N$102,MATCH($A28,日常水質!$I$95:$N$95,0))),INDEX(日常水質!$I$148:$N$148,MATCH($A28,日常水質!$I$141:$N$141,0))),INDEX(日常水質!$I$194:$N$194,MATCH($A28,日常水質!$I$187:$N$187,0))),"")</f>
        <v/>
      </c>
      <c r="K28" s="1042">
        <f>IF(J28="","",IFERROR((J28-LOOKUP(2,1/(J$6:J27&lt;&gt;""),J$6:J27))/(A28-LOOKUP(2,1/(J$6:J27&lt;&gt;""),A$6:A27)),""))</f>
        <v/>
      </c>
      <c r="L28" s="1056">
        <f>IFERROR(IFERROR(IFERROR(IFERROR(IFERROR(INDEX(日常水質!$I$11:$N$11,MATCH($A28,日常水質!$I$3:$N$3,0)),INDEX(日常水質!$I$57:$N$57,MATCH($A28,日常水質!$I$49:$N$49,0))),INDEX(日常水質!$I$103:$N$103,MATCH($A28,日常水質!$I$95:$N$95,0))),INDEX(日常水質!$I$149:$N$149,MATCH($A28,日常水質!$I$141:$N$141,0))),INDEX(日常水質!$I$195:$N$195,MATCH($A28,日常水質!$I$187:$N$187,0))),"")</f>
        <v/>
      </c>
      <c r="M28" s="1043">
        <f>IF(L28="","",IFERROR((L28-LOOKUP(2,1/(L$6:L27&lt;&gt;""),L$6:L27))/(A28-LOOKUP(2,1/(L$6:L27&lt;&gt;""),A$6:A27)),""))</f>
        <v/>
      </c>
      <c r="N28" s="1061">
        <f>IFERROR(IFERROR(IFERROR(IFERROR(IFERROR(INDEX(日常水質!$I$12:$N$12,MATCH($A28,日常水質!$I$3:$N$3,0)),INDEX(日常水質!$I$58:$N$58,MATCH($A28,日常水質!$I$49:$N$49,0))),INDEX(日常水質!$I$104:$N$104,MATCH($A28,日常水質!$I$95:$N$95,0))),INDEX(日常水質!$I$150:$N$150,MATCH($A28,日常水質!$I$141:$N$141,0))),INDEX(日常水質!$I$196:$N$196,MATCH($A28,日常水質!$I$187:$N$187,0))),"")</f>
        <v/>
      </c>
      <c r="O28" s="763" t="n"/>
      <c r="P28" s="1059" t="n"/>
      <c r="R28" s="1059" t="n"/>
    </row>
    <row r="29" ht="13.5" customHeight="1" s="614">
      <c r="A29" s="1048">
        <f>IF(ISNUMBER(A28),IF(MONTH(A28+1)=MONTH($A$6),A28+1,""),"")</f>
        <v/>
      </c>
      <c r="B29" s="1049">
        <f>IF(ISNUMBER(A29),A29,"")</f>
        <v/>
      </c>
      <c r="C29" s="1062">
        <f>IFERROR(IFERROR(IFERROR(IFERROR(IFERROR(INDEX(日常水質!$I$4:$N$4,MATCH($A29,日常水質!$I$3:$N$3,0)),INDEX(日常水質!$I$50:$N$50,MATCH($A29,日常水質!$I$49:$N$49,0))),INDEX(日常水質!$I$96:$N$96,MATCH($A29,日常水質!$I$95:$N$95,0))),INDEX(日常水質!$I$142:$N$142,MATCH($A29,日常水質!$I$141:$N$141,0))),INDEX(日常水質!$I$188:$N$188,MATCH($A29,日常水質!$I$187:$N$187,0))),"")</f>
        <v/>
      </c>
      <c r="D29" s="1052">
        <f>IFERROR(IFERROR(IFERROR(IFERROR(IFERROR(INDEX(日常水質!$I$5:$N$5,MATCH($A29,日常水質!$I$3:$N$3,0)),INDEX(日常水質!$I$51:$N$51,MATCH($A29,日常水質!$I$49:$N$49,0))),INDEX(日常水質!$I$97:$N$97,MATCH($A29,日常水質!$I$95:$N$95,0))),INDEX(日常水質!$I$143:$N$143,MATCH($A29,日常水質!$I$141:$N$141,0))),INDEX(日常水質!$I$189:$N$189,MATCH($A29,日常水質!$I$187:$N$187,0))),"")</f>
        <v/>
      </c>
      <c r="E29" s="1052">
        <f>IFERROR(IFERROR(IFERROR(IFERROR(IFERROR(INDEX(日常水質!$I$6:$N$6,MATCH($A29,日常水質!$I$3:$N$3,0)),INDEX(日常水質!$I$52:$N$52,MATCH($A29,日常水質!$I$49:$N$49,0))),INDEX(日常水質!$I$98:$N$98,MATCH($A29,日常水質!$I$95:$N$95,0))),INDEX(日常水質!$I$144:$N$144,MATCH($A29,日常水質!$I$141:$N$141,0))),INDEX(日常水質!$I$190:$N$190,MATCH($A29,日常水質!$I$187:$N$187,0))),"")</f>
        <v/>
      </c>
      <c r="F29" s="1052">
        <f>IFERROR(IFERROR(IFERROR(IFERROR(IFERROR(INDEX(日常水質!$I$8:$N$8,MATCH($A29,日常水質!$I$3:$N$3,0)),INDEX(日常水質!$I$54:$N$54,MATCH($A29,日常水質!$I$49:$N$49,0))),INDEX(日常水質!$I$100:$N$100,MATCH($A29,日常水質!$I$95:$N$95,0))),INDEX(日常水質!$I$146:$N$146,MATCH($A29,日常水質!$I$141:$N$141,0))),INDEX(日常水質!$I$192:$N$192,MATCH($A29,日常水質!$I$187:$N$187,0))),"")</f>
        <v/>
      </c>
      <c r="G29" s="1053" t="n"/>
      <c r="H29" s="714" t="n"/>
      <c r="I29" s="714" t="n"/>
      <c r="J29" s="1055">
        <f>IFERROR(IFERROR(IFERROR(IFERROR(IFERROR(INDEX(日常水質!$I$10:$N$10,MATCH($A29,日常水質!$I$3:$N$3,0)),INDEX(日常水質!$I$56:$N$56,MATCH($A29,日常水質!$I$49:$N$49,0))),INDEX(日常水質!$I$102:$N$102,MATCH($A29,日常水質!$I$95:$N$95,0))),INDEX(日常水質!$I$148:$N$148,MATCH($A29,日常水質!$I$141:$N$141,0))),INDEX(日常水質!$I$194:$N$194,MATCH($A29,日常水質!$I$187:$N$187,0))),"")</f>
        <v/>
      </c>
      <c r="K29" s="1042">
        <f>IF(J29="","",IFERROR((J29-LOOKUP(2,1/(J$6:J28&lt;&gt;""),J$6:J28))/(A29-LOOKUP(2,1/(J$6:J28&lt;&gt;""),A$6:A28)),""))</f>
        <v/>
      </c>
      <c r="L29" s="1056">
        <f>IFERROR(IFERROR(IFERROR(IFERROR(IFERROR(INDEX(日常水質!$I$11:$N$11,MATCH($A29,日常水質!$I$3:$N$3,0)),INDEX(日常水質!$I$57:$N$57,MATCH($A29,日常水質!$I$49:$N$49,0))),INDEX(日常水質!$I$103:$N$103,MATCH($A29,日常水質!$I$95:$N$95,0))),INDEX(日常水質!$I$149:$N$149,MATCH($A29,日常水質!$I$141:$N$141,0))),INDEX(日常水質!$I$195:$N$195,MATCH($A29,日常水質!$I$187:$N$187,0))),"")</f>
        <v/>
      </c>
      <c r="M29" s="1043">
        <f>IF(L29="","",IFERROR((L29-LOOKUP(2,1/(L$6:L28&lt;&gt;""),L$6:L28))/(A29-LOOKUP(2,1/(L$6:L28&lt;&gt;""),A$6:A28)),""))</f>
        <v/>
      </c>
      <c r="N29" s="1061">
        <f>IFERROR(IFERROR(IFERROR(IFERROR(IFERROR(INDEX(日常水質!$I$12:$N$12,MATCH($A29,日常水質!$I$3:$N$3,0)),INDEX(日常水質!$I$58:$N$58,MATCH($A29,日常水質!$I$49:$N$49,0))),INDEX(日常水質!$I$104:$N$104,MATCH($A29,日常水質!$I$95:$N$95,0))),INDEX(日常水質!$I$150:$N$150,MATCH($A29,日常水質!$I$141:$N$141,0))),INDEX(日常水質!$I$196:$N$196,MATCH($A29,日常水質!$I$187:$N$187,0))),"")</f>
        <v/>
      </c>
      <c r="O29" s="763" t="n"/>
    </row>
    <row r="30" ht="13.5" customHeight="1" s="614">
      <c r="A30" s="1048">
        <f>IF(ISNUMBER(A29),IF(MONTH(A29+1)=MONTH($A$6),A29+1,""),"")</f>
        <v/>
      </c>
      <c r="B30" s="1049">
        <f>IF(ISNUMBER(A30),A30,"")</f>
        <v/>
      </c>
      <c r="C30" s="1064">
        <f>IFERROR(IFERROR(IFERROR(IFERROR(IFERROR(INDEX(日常水質!$I$4:$N$4,MATCH($A30,日常水質!$I$3:$N$3,0)),INDEX(日常水質!$I$50:$N$50,MATCH($A30,日常水質!$I$49:$N$49,0))),INDEX(日常水質!$I$96:$N$96,MATCH($A30,日常水質!$I$95:$N$95,0))),INDEX(日常水質!$I$142:$N$142,MATCH($A30,日常水質!$I$141:$N$141,0))),INDEX(日常水質!$I$188:$N$188,MATCH($A30,日常水質!$I$187:$N$187,0))),"")</f>
        <v/>
      </c>
      <c r="D30" s="1052">
        <f>IFERROR(IFERROR(IFERROR(IFERROR(IFERROR(INDEX(日常水質!$I$5:$N$5,MATCH($A30,日常水質!$I$3:$N$3,0)),INDEX(日常水質!$I$51:$N$51,MATCH($A30,日常水質!$I$49:$N$49,0))),INDEX(日常水質!$I$97:$N$97,MATCH($A30,日常水質!$I$95:$N$95,0))),INDEX(日常水質!$I$143:$N$143,MATCH($A30,日常水質!$I$141:$N$141,0))),INDEX(日常水質!$I$189:$N$189,MATCH($A30,日常水質!$I$187:$N$187,0))),"")</f>
        <v/>
      </c>
      <c r="E30" s="1052">
        <f>IFERROR(IFERROR(IFERROR(IFERROR(IFERROR(INDEX(日常水質!$I$6:$N$6,MATCH($A30,日常水質!$I$3:$N$3,0)),INDEX(日常水質!$I$52:$N$52,MATCH($A30,日常水質!$I$49:$N$49,0))),INDEX(日常水質!$I$98:$N$98,MATCH($A30,日常水質!$I$95:$N$95,0))),INDEX(日常水質!$I$144:$N$144,MATCH($A30,日常水質!$I$141:$N$141,0))),INDEX(日常水質!$I$190:$N$190,MATCH($A30,日常水質!$I$187:$N$187,0))),"")</f>
        <v/>
      </c>
      <c r="F30" s="1052">
        <f>IFERROR(IFERROR(IFERROR(IFERROR(IFERROR(INDEX(日常水質!$I$8:$N$8,MATCH($A30,日常水質!$I$3:$N$3,0)),INDEX(日常水質!$I$54:$N$54,MATCH($A30,日常水質!$I$49:$N$49,0))),INDEX(日常水質!$I$100:$N$100,MATCH($A30,日常水質!$I$95:$N$95,0))),INDEX(日常水質!$I$146:$N$146,MATCH($A30,日常水質!$I$141:$N$141,0))),INDEX(日常水質!$I$192:$N$192,MATCH($A30,日常水質!$I$187:$N$187,0))),"")</f>
        <v/>
      </c>
      <c r="G30" s="1053" t="n"/>
      <c r="H30" s="714" t="n"/>
      <c r="I30" s="714" t="n"/>
      <c r="J30" s="1055">
        <f>IFERROR(IFERROR(IFERROR(IFERROR(IFERROR(INDEX(日常水質!$I$10:$N$10,MATCH($A30,日常水質!$I$3:$N$3,0)),INDEX(日常水質!$I$56:$N$56,MATCH($A30,日常水質!$I$49:$N$49,0))),INDEX(日常水質!$I$102:$N$102,MATCH($A30,日常水質!$I$95:$N$95,0))),INDEX(日常水質!$I$148:$N$148,MATCH($A30,日常水質!$I$141:$N$141,0))),INDEX(日常水質!$I$194:$N$194,MATCH($A30,日常水質!$I$187:$N$187,0))),"")</f>
        <v/>
      </c>
      <c r="K30" s="1042">
        <f>IF(J30="","",IFERROR((J30-LOOKUP(2,1/(J$6:J29&lt;&gt;""),J$6:J29))/(A30-LOOKUP(2,1/(J$6:J29&lt;&gt;""),A$6:A29)),""))</f>
        <v/>
      </c>
      <c r="L30" s="1056">
        <f>IFERROR(IFERROR(IFERROR(IFERROR(IFERROR(INDEX(日常水質!$I$11:$N$11,MATCH($A30,日常水質!$I$3:$N$3,0)),INDEX(日常水質!$I$57:$N$57,MATCH($A30,日常水質!$I$49:$N$49,0))),INDEX(日常水質!$I$103:$N$103,MATCH($A30,日常水質!$I$95:$N$95,0))),INDEX(日常水質!$I$149:$N$149,MATCH($A30,日常水質!$I$141:$N$141,0))),INDEX(日常水質!$I$195:$N$195,MATCH($A30,日常水質!$I$187:$N$187,0))),"")</f>
        <v/>
      </c>
      <c r="M30" s="1043">
        <f>IF(L30="","",IFERROR((L30-LOOKUP(2,1/(L$6:L29&lt;&gt;""),L$6:L29))/(A30-LOOKUP(2,1/(L$6:L29&lt;&gt;""),A$6:A29)),""))</f>
        <v/>
      </c>
      <c r="N30" s="1061">
        <f>IFERROR(IFERROR(IFERROR(IFERROR(IFERROR(INDEX(日常水質!$I$12:$N$12,MATCH($A30,日常水質!$I$3:$N$3,0)),INDEX(日常水質!$I$58:$N$58,MATCH($A30,日常水質!$I$49:$N$49,0))),INDEX(日常水質!$I$104:$N$104,MATCH($A30,日常水質!$I$95:$N$95,0))),INDEX(日常水質!$I$150:$N$150,MATCH($A30,日常水質!$I$141:$N$141,0))),INDEX(日常水質!$I$196:$N$196,MATCH($A30,日常水質!$I$187:$N$187,0))),"")</f>
        <v/>
      </c>
      <c r="O30" s="1065" t="n"/>
      <c r="P30" s="1058" t="n"/>
      <c r="R30" s="1059" t="n"/>
    </row>
    <row r="31" ht="13.5" customHeight="1" s="614">
      <c r="A31" s="1048">
        <f>IF(ISNUMBER(A30),IF(MONTH(A30+1)=MONTH($A$6),A30+1,""),"")</f>
        <v/>
      </c>
      <c r="B31" s="1049">
        <f>IF(ISNUMBER(A31),A31,"")</f>
        <v/>
      </c>
      <c r="C31" s="1062">
        <f>IFERROR(IFERROR(IFERROR(IFERROR(IFERROR(INDEX(日常水質!$I$4:$N$4,MATCH($A31,日常水質!$I$3:$N$3,0)),INDEX(日常水質!$I$50:$N$50,MATCH($A31,日常水質!$I$49:$N$49,0))),INDEX(日常水質!$I$96:$N$96,MATCH($A31,日常水質!$I$95:$N$95,0))),INDEX(日常水質!$I$142:$N$142,MATCH($A31,日常水質!$I$141:$N$141,0))),INDEX(日常水質!$I$188:$N$188,MATCH($A31,日常水質!$I$187:$N$187,0))),"")</f>
        <v/>
      </c>
      <c r="D31" s="1052">
        <f>IFERROR(IFERROR(IFERROR(IFERROR(IFERROR(INDEX(日常水質!$I$5:$N$5,MATCH($A31,日常水質!$I$3:$N$3,0)),INDEX(日常水質!$I$51:$N$51,MATCH($A31,日常水質!$I$49:$N$49,0))),INDEX(日常水質!$I$97:$N$97,MATCH($A31,日常水質!$I$95:$N$95,0))),INDEX(日常水質!$I$143:$N$143,MATCH($A31,日常水質!$I$141:$N$141,0))),INDEX(日常水質!$I$189:$N$189,MATCH($A31,日常水質!$I$187:$N$187,0))),"")</f>
        <v/>
      </c>
      <c r="E31" s="1052">
        <f>IFERROR(IFERROR(IFERROR(IFERROR(IFERROR(INDEX(日常水質!$I$6:$N$6,MATCH($A31,日常水質!$I$3:$N$3,0)),INDEX(日常水質!$I$52:$N$52,MATCH($A31,日常水質!$I$49:$N$49,0))),INDEX(日常水質!$I$98:$N$98,MATCH($A31,日常水質!$I$95:$N$95,0))),INDEX(日常水質!$I$144:$N$144,MATCH($A31,日常水質!$I$141:$N$141,0))),INDEX(日常水質!$I$190:$N$190,MATCH($A31,日常水質!$I$187:$N$187,0))),"")</f>
        <v/>
      </c>
      <c r="F31" s="1052">
        <f>IFERROR(IFERROR(IFERROR(IFERROR(IFERROR(INDEX(日常水質!$I$8:$N$8,MATCH($A31,日常水質!$I$3:$N$3,0)),INDEX(日常水質!$I$54:$N$54,MATCH($A31,日常水質!$I$49:$N$49,0))),INDEX(日常水質!$I$100:$N$100,MATCH($A31,日常水質!$I$95:$N$95,0))),INDEX(日常水質!$I$146:$N$146,MATCH($A31,日常水質!$I$141:$N$141,0))),INDEX(日常水質!$I$192:$N$192,MATCH($A31,日常水質!$I$187:$N$187,0))),"")</f>
        <v/>
      </c>
      <c r="G31" s="1053" t="n"/>
      <c r="H31" s="714" t="n"/>
      <c r="I31" s="714" t="n"/>
      <c r="J31" s="1055">
        <f>IFERROR(IFERROR(IFERROR(IFERROR(IFERROR(INDEX(日常水質!$I$10:$N$10,MATCH($A31,日常水質!$I$3:$N$3,0)),INDEX(日常水質!$I$56:$N$56,MATCH($A31,日常水質!$I$49:$N$49,0))),INDEX(日常水質!$I$102:$N$102,MATCH($A31,日常水質!$I$95:$N$95,0))),INDEX(日常水質!$I$148:$N$148,MATCH($A31,日常水質!$I$141:$N$141,0))),INDEX(日常水質!$I$194:$N$194,MATCH($A31,日常水質!$I$187:$N$187,0))),"")</f>
        <v/>
      </c>
      <c r="K31" s="1042">
        <f>IF(J31="","",IFERROR((J31-LOOKUP(2,1/(J$6:J30&lt;&gt;""),J$6:J30))/(A31-LOOKUP(2,1/(J$6:J30&lt;&gt;""),A$6:A30)),""))</f>
        <v/>
      </c>
      <c r="L31" s="1056">
        <f>IFERROR(IFERROR(IFERROR(IFERROR(IFERROR(INDEX(日常水質!$I$11:$N$11,MATCH($A31,日常水質!$I$3:$N$3,0)),INDEX(日常水質!$I$57:$N$57,MATCH($A31,日常水質!$I$49:$N$49,0))),INDEX(日常水質!$I$103:$N$103,MATCH($A31,日常水質!$I$95:$N$95,0))),INDEX(日常水質!$I$149:$N$149,MATCH($A31,日常水質!$I$141:$N$141,0))),INDEX(日常水質!$I$195:$N$195,MATCH($A31,日常水質!$I$187:$N$187,0))),"")</f>
        <v/>
      </c>
      <c r="M31" s="1043">
        <f>IF(L31="","",IFERROR((L31-LOOKUP(2,1/(L$6:L30&lt;&gt;""),L$6:L30))/(A31-LOOKUP(2,1/(L$6:L30&lt;&gt;""),A$6:A30)),""))</f>
        <v/>
      </c>
      <c r="N31" s="1061">
        <f>IFERROR(IFERROR(IFERROR(IFERROR(IFERROR(INDEX(日常水質!$I$12:$N$12,MATCH($A31,日常水質!$I$3:$N$3,0)),INDEX(日常水質!$I$58:$N$58,MATCH($A31,日常水質!$I$49:$N$49,0))),INDEX(日常水質!$I$104:$N$104,MATCH($A31,日常水質!$I$95:$N$95,0))),INDEX(日常水質!$I$150:$N$150,MATCH($A31,日常水質!$I$141:$N$141,0))),INDEX(日常水質!$I$196:$N$196,MATCH($A31,日常水質!$I$187:$N$187,0))),"")</f>
        <v/>
      </c>
      <c r="O31" s="1065" t="n"/>
      <c r="P31" s="1058" t="n"/>
    </row>
    <row r="32" ht="13.5" customHeight="1" s="614">
      <c r="A32" s="1048">
        <f>IF(ISNUMBER(A31),IF(MONTH(A31+1)=MONTH($A$6),A31+1,""),"")</f>
        <v/>
      </c>
      <c r="B32" s="1049">
        <f>IF(ISNUMBER(A32),A32,"")</f>
        <v/>
      </c>
      <c r="C32" s="1062">
        <f>IFERROR(IFERROR(IFERROR(IFERROR(IFERROR(INDEX(日常水質!$I$4:$N$4,MATCH($A32,日常水質!$I$3:$N$3,0)),INDEX(日常水質!$I$50:$N$50,MATCH($A32,日常水質!$I$49:$N$49,0))),INDEX(日常水質!$I$96:$N$96,MATCH($A32,日常水質!$I$95:$N$95,0))),INDEX(日常水質!$I$142:$N$142,MATCH($A32,日常水質!$I$141:$N$141,0))),INDEX(日常水質!$I$188:$N$188,MATCH($A32,日常水質!$I$187:$N$187,0))),"")</f>
        <v/>
      </c>
      <c r="D32" s="1052">
        <f>IFERROR(IFERROR(IFERROR(IFERROR(IFERROR(INDEX(日常水質!$I$5:$N$5,MATCH($A32,日常水質!$I$3:$N$3,0)),INDEX(日常水質!$I$51:$N$51,MATCH($A32,日常水質!$I$49:$N$49,0))),INDEX(日常水質!$I$97:$N$97,MATCH($A32,日常水質!$I$95:$N$95,0))),INDEX(日常水質!$I$143:$N$143,MATCH($A32,日常水質!$I$141:$N$141,0))),INDEX(日常水質!$I$189:$N$189,MATCH($A32,日常水質!$I$187:$N$187,0))),"")</f>
        <v/>
      </c>
      <c r="E32" s="1052">
        <f>IFERROR(IFERROR(IFERROR(IFERROR(IFERROR(INDEX(日常水質!$I$6:$N$6,MATCH($A32,日常水質!$I$3:$N$3,0)),INDEX(日常水質!$I$52:$N$52,MATCH($A32,日常水質!$I$49:$N$49,0))),INDEX(日常水質!$I$98:$N$98,MATCH($A32,日常水質!$I$95:$N$95,0))),INDEX(日常水質!$I$144:$N$144,MATCH($A32,日常水質!$I$141:$N$141,0))),INDEX(日常水質!$I$190:$N$190,MATCH($A32,日常水質!$I$187:$N$187,0))),"")</f>
        <v/>
      </c>
      <c r="F32" s="1052">
        <f>IFERROR(IFERROR(IFERROR(IFERROR(IFERROR(INDEX(日常水質!$I$8:$N$8,MATCH($A32,日常水質!$I$3:$N$3,0)),INDEX(日常水質!$I$54:$N$54,MATCH($A32,日常水質!$I$49:$N$49,0))),INDEX(日常水質!$I$100:$N$100,MATCH($A32,日常水質!$I$95:$N$95,0))),INDEX(日常水質!$I$146:$N$146,MATCH($A32,日常水質!$I$141:$N$141,0))),INDEX(日常水質!$I$192:$N$192,MATCH($A32,日常水質!$I$187:$N$187,0))),"")</f>
        <v/>
      </c>
      <c r="G32" s="1053" t="n"/>
      <c r="H32" s="714" t="n"/>
      <c r="I32" s="714" t="n"/>
      <c r="J32" s="1055">
        <f>IFERROR(IFERROR(IFERROR(IFERROR(IFERROR(INDEX(日常水質!$I$10:$N$10,MATCH($A32,日常水質!$I$3:$N$3,0)),INDEX(日常水質!$I$56:$N$56,MATCH($A32,日常水質!$I$49:$N$49,0))),INDEX(日常水質!$I$102:$N$102,MATCH($A32,日常水質!$I$95:$N$95,0))),INDEX(日常水質!$I$148:$N$148,MATCH($A32,日常水質!$I$141:$N$141,0))),INDEX(日常水質!$I$194:$N$194,MATCH($A32,日常水質!$I$187:$N$187,0))),"")</f>
        <v/>
      </c>
      <c r="K32" s="1042">
        <f>IF(J32="","",IFERROR((J32-LOOKUP(2,1/(J$6:J31&lt;&gt;""),J$6:J31))/(A32-LOOKUP(2,1/(J$6:J31&lt;&gt;""),A$6:A31)),""))</f>
        <v/>
      </c>
      <c r="L32" s="1056">
        <f>IFERROR(IFERROR(IFERROR(IFERROR(IFERROR(INDEX(日常水質!$I$11:$N$11,MATCH($A32,日常水質!$I$3:$N$3,0)),INDEX(日常水質!$I$57:$N$57,MATCH($A32,日常水質!$I$49:$N$49,0))),INDEX(日常水質!$I$103:$N$103,MATCH($A32,日常水質!$I$95:$N$95,0))),INDEX(日常水質!$I$149:$N$149,MATCH($A32,日常水質!$I$141:$N$141,0))),INDEX(日常水質!$I$195:$N$195,MATCH($A32,日常水質!$I$187:$N$187,0))),"")</f>
        <v/>
      </c>
      <c r="M32" s="1043">
        <f>IF(L32="","",IFERROR((L32-LOOKUP(2,1/(L$6:L31&lt;&gt;""),L$6:L31))/(A32-LOOKUP(2,1/(L$6:L31&lt;&gt;""),A$6:A31)),""))</f>
        <v/>
      </c>
      <c r="N32" s="1061">
        <f>IFERROR(IFERROR(IFERROR(IFERROR(IFERROR(INDEX(日常水質!$I$12:$N$12,MATCH($A32,日常水質!$I$3:$N$3,0)),INDEX(日常水質!$I$58:$N$58,MATCH($A32,日常水質!$I$49:$N$49,0))),INDEX(日常水質!$I$104:$N$104,MATCH($A32,日常水質!$I$95:$N$95,0))),INDEX(日常水質!$I$150:$N$150,MATCH($A32,日常水質!$I$141:$N$141,0))),INDEX(日常水質!$I$196:$N$196,MATCH($A32,日常水質!$I$187:$N$187,0))),"")</f>
        <v/>
      </c>
      <c r="O32" s="1065" t="n"/>
      <c r="P32" s="1059" t="n"/>
      <c r="R32" s="1059" t="n"/>
    </row>
    <row r="33" ht="13.5" customHeight="1" s="614">
      <c r="A33" s="1048">
        <f>IF(ISNUMBER(A32),IF(MONTH(A32+1)=MONTH($A$6),A32+1,""),"")</f>
        <v/>
      </c>
      <c r="B33" s="1049">
        <f>IF(ISNUMBER(A33),A33,"")</f>
        <v/>
      </c>
      <c r="C33" s="1062">
        <f>IFERROR(IFERROR(IFERROR(IFERROR(IFERROR(INDEX(日常水質!$I$4:$N$4,MATCH($A33,日常水質!$I$3:$N$3,0)),INDEX(日常水質!$I$50:$N$50,MATCH($A33,日常水質!$I$49:$N$49,0))),INDEX(日常水質!$I$96:$N$96,MATCH($A33,日常水質!$I$95:$N$95,0))),INDEX(日常水質!$I$142:$N$142,MATCH($A33,日常水質!$I$141:$N$141,0))),INDEX(日常水質!$I$188:$N$188,MATCH($A33,日常水質!$I$187:$N$187,0))),"")</f>
        <v/>
      </c>
      <c r="D33" s="1052">
        <f>IFERROR(IFERROR(IFERROR(IFERROR(IFERROR(INDEX(日常水質!$I$5:$N$5,MATCH($A33,日常水質!$I$3:$N$3,0)),INDEX(日常水質!$I$51:$N$51,MATCH($A33,日常水質!$I$49:$N$49,0))),INDEX(日常水質!$I$97:$N$97,MATCH($A33,日常水質!$I$95:$N$95,0))),INDEX(日常水質!$I$143:$N$143,MATCH($A33,日常水質!$I$141:$N$141,0))),INDEX(日常水質!$I$189:$N$189,MATCH($A33,日常水質!$I$187:$N$187,0))),"")</f>
        <v/>
      </c>
      <c r="E33" s="1052">
        <f>IFERROR(IFERROR(IFERROR(IFERROR(IFERROR(INDEX(日常水質!$I$6:$N$6,MATCH($A33,日常水質!$I$3:$N$3,0)),INDEX(日常水質!$I$52:$N$52,MATCH($A33,日常水質!$I$49:$N$49,0))),INDEX(日常水質!$I$98:$N$98,MATCH($A33,日常水質!$I$95:$N$95,0))),INDEX(日常水質!$I$144:$N$144,MATCH($A33,日常水質!$I$141:$N$141,0))),INDEX(日常水質!$I$190:$N$190,MATCH($A33,日常水質!$I$187:$N$187,0))),"")</f>
        <v/>
      </c>
      <c r="F33" s="1066">
        <f>IFERROR(IFERROR(IFERROR(IFERROR(IFERROR(INDEX(日常水質!$I$8:$N$8,MATCH($A33,日常水質!$I$3:$N$3,0)),INDEX(日常水質!$I$54:$N$54,MATCH($A33,日常水質!$I$49:$N$49,0))),INDEX(日常水質!$I$100:$N$100,MATCH($A33,日常水質!$I$95:$N$95,0))),INDEX(日常水質!$I$146:$N$146,MATCH($A33,日常水質!$I$141:$N$141,0))),INDEX(日常水質!$I$192:$N$192,MATCH($A33,日常水質!$I$187:$N$187,0))),"")</f>
        <v/>
      </c>
      <c r="G33" s="1067" t="n"/>
      <c r="H33" s="728" t="n"/>
      <c r="I33" s="728" t="n"/>
      <c r="J33" s="1068">
        <f>IFERROR(IFERROR(IFERROR(IFERROR(IFERROR(INDEX(日常水質!$I$10:$N$10,MATCH($A33,日常水質!$I$3:$N$3,0)),INDEX(日常水質!$I$56:$N$56,MATCH($A33,日常水質!$I$49:$N$49,0))),INDEX(日常水質!$I$102:$N$102,MATCH($A33,日常水質!$I$95:$N$95,0))),INDEX(日常水質!$I$148:$N$148,MATCH($A33,日常水質!$I$141:$N$141,0))),INDEX(日常水質!$I$194:$N$194,MATCH($A33,日常水質!$I$187:$N$187,0))),"")</f>
        <v/>
      </c>
      <c r="K33" s="1042">
        <f>IF(J33="","",IFERROR((J33-LOOKUP(2,1/(J$6:J32&lt;&gt;""),J$6:J32))/(A33-LOOKUP(2,1/(J$6:J32&lt;&gt;""),A$6:A32)),""))</f>
        <v/>
      </c>
      <c r="L33" s="1069">
        <f>IFERROR(IFERROR(IFERROR(IFERROR(IFERROR(INDEX(日常水質!$I$11:$N$11,MATCH($A33,日常水質!$I$3:$N$3,0)),INDEX(日常水質!$I$57:$N$57,MATCH($A33,日常水質!$I$49:$N$49,0))),INDEX(日常水質!$I$103:$N$103,MATCH($A33,日常水質!$I$95:$N$95,0))),INDEX(日常水質!$I$149:$N$149,MATCH($A33,日常水質!$I$141:$N$141,0))),INDEX(日常水質!$I$195:$N$195,MATCH($A33,日常水質!$I$187:$N$187,0))),"")</f>
        <v/>
      </c>
      <c r="M33" s="1043">
        <f>IF(L33="","",IFERROR((L33-LOOKUP(2,1/(L$6:L32&lt;&gt;""),L$6:L32))/(A33-LOOKUP(2,1/(L$6:L32&lt;&gt;""),A$6:A32)),""))</f>
        <v/>
      </c>
      <c r="N33" s="1070">
        <f>IFERROR(IFERROR(IFERROR(IFERROR(IFERROR(INDEX(日常水質!$I$12:$N$12,MATCH($A33,日常水質!$I$3:$N$3,0)),INDEX(日常水質!$I$58:$N$58,MATCH($A33,日常水質!$I$49:$N$49,0))),INDEX(日常水質!$I$104:$N$104,MATCH($A33,日常水質!$I$95:$N$95,0))),INDEX(日常水質!$I$150:$N$150,MATCH($A33,日常水質!$I$141:$N$141,0))),INDEX(日常水質!$I$196:$N$196,MATCH($A33,日常水質!$I$187:$N$187,0))),"")</f>
        <v/>
      </c>
      <c r="O33" s="1065" t="n"/>
    </row>
    <row r="34" ht="13.5" customHeight="1" s="614">
      <c r="A34" s="1048">
        <f>IF(ISNUMBER(A33),IF(MONTH(A33+1)=MONTH($A$6),A33+1,""),"")</f>
        <v/>
      </c>
      <c r="B34" s="1049">
        <f>IF(ISNUMBER(A34),A34,"")</f>
        <v/>
      </c>
      <c r="C34" s="1062">
        <f>IFERROR(IFERROR(IFERROR(IFERROR(IFERROR(INDEX(日常水質!$I$4:$N$4,MATCH($A34,日常水質!$I$3:$N$3,0)),INDEX(日常水質!$I$50:$N$50,MATCH($A34,日常水質!$I$49:$N$49,0))),INDEX(日常水質!$I$96:$N$96,MATCH($A34,日常水質!$I$95:$N$95,0))),INDEX(日常水質!$I$142:$N$142,MATCH($A34,日常水質!$I$141:$N$141,0))),INDEX(日常水質!$I$188:$N$188,MATCH($A34,日常水質!$I$187:$N$187,0))),"")</f>
        <v/>
      </c>
      <c r="D34" s="1066">
        <f>IFERROR(IFERROR(IFERROR(IFERROR(IFERROR(INDEX(日常水質!$I$5:$N$5,MATCH($A34,日常水質!$I$3:$N$3,0)),INDEX(日常水質!$I$51:$N$51,MATCH($A34,日常水質!$I$49:$N$49,0))),INDEX(日常水質!$I$97:$N$97,MATCH($A34,日常水質!$I$95:$N$95,0))),INDEX(日常水質!$I$143:$N$143,MATCH($A34,日常水質!$I$141:$N$141,0))),INDEX(日常水質!$I$189:$N$189,MATCH($A34,日常水質!$I$187:$N$187,0))),"")</f>
        <v/>
      </c>
      <c r="E34" s="1066">
        <f>IFERROR(IFERROR(IFERROR(IFERROR(IFERROR(INDEX(日常水質!$I$6:$N$6,MATCH($A34,日常水質!$I$3:$N$3,0)),INDEX(日常水質!$I$52:$N$52,MATCH($A34,日常水質!$I$49:$N$49,0))),INDEX(日常水質!$I$98:$N$98,MATCH($A34,日常水質!$I$95:$N$95,0))),INDEX(日常水質!$I$144:$N$144,MATCH($A34,日常水質!$I$141:$N$141,0))),INDEX(日常水質!$I$190:$N$190,MATCH($A34,日常水質!$I$187:$N$187,0))),"")</f>
        <v/>
      </c>
      <c r="F34" s="1066">
        <f>IFERROR(IFERROR(IFERROR(IFERROR(IFERROR(INDEX(日常水質!$I$8:$N$8,MATCH($A34,日常水質!$I$3:$N$3,0)),INDEX(日常水質!$I$54:$N$54,MATCH($A34,日常水質!$I$49:$N$49,0))),INDEX(日常水質!$I$100:$N$100,MATCH($A34,日常水質!$I$95:$N$95,0))),INDEX(日常水質!$I$146:$N$146,MATCH($A34,日常水質!$I$141:$N$141,0))),INDEX(日常水質!$I$192:$N$192,MATCH($A34,日常水質!$I$187:$N$187,0))),"")</f>
        <v/>
      </c>
      <c r="G34" s="1067" t="n"/>
      <c r="H34" s="728" t="n"/>
      <c r="I34" s="728" t="n"/>
      <c r="J34" s="1068">
        <f>IFERROR(IFERROR(IFERROR(IFERROR(IFERROR(INDEX(日常水質!$I$10:$N$10,MATCH($A34,日常水質!$I$3:$N$3,0)),INDEX(日常水質!$I$56:$N$56,MATCH($A34,日常水質!$I$49:$N$49,0))),INDEX(日常水質!$I$102:$N$102,MATCH($A34,日常水質!$I$95:$N$95,0))),INDEX(日常水質!$I$148:$N$148,MATCH($A34,日常水質!$I$141:$N$141,0))),INDEX(日常水質!$I$194:$N$194,MATCH($A34,日常水質!$I$187:$N$187,0))),"")</f>
        <v/>
      </c>
      <c r="K34" s="1042">
        <f>IF(J34="","",IFERROR((J34-LOOKUP(2,1/(J$6:J33&lt;&gt;""),J$6:J33))/(A34-LOOKUP(2,1/(J$6:J33&lt;&gt;""),A$6:A33)),""))</f>
        <v/>
      </c>
      <c r="L34" s="1069">
        <f>IFERROR(IFERROR(IFERROR(IFERROR(IFERROR(INDEX(日常水質!$I$11:$N$11,MATCH($A34,日常水質!$I$3:$N$3,0)),INDEX(日常水質!$I$57:$N$57,MATCH($A34,日常水質!$I$49:$N$49,0))),INDEX(日常水質!$I$103:$N$103,MATCH($A34,日常水質!$I$95:$N$95,0))),INDEX(日常水質!$I$149:$N$149,MATCH($A34,日常水質!$I$141:$N$141,0))),INDEX(日常水質!$I$195:$N$195,MATCH($A34,日常水質!$I$187:$N$187,0))),"")</f>
        <v/>
      </c>
      <c r="M34" s="1043">
        <f>IF(L34="","",IFERROR((L34-LOOKUP(2,1/(L$6:L33&lt;&gt;""),L$6:L33))/(A34-LOOKUP(2,1/(L$6:L33&lt;&gt;""),A$6:A33)),""))</f>
        <v/>
      </c>
      <c r="N34" s="1070">
        <f>IFERROR(IFERROR(IFERROR(IFERROR(IFERROR(INDEX(日常水質!$I$12:$N$12,MATCH($A34,日常水質!$I$3:$N$3,0)),INDEX(日常水質!$I$58:$N$58,MATCH($A34,日常水質!$I$49:$N$49,0))),INDEX(日常水質!$I$104:$N$104,MATCH($A34,日常水質!$I$95:$N$95,0))),INDEX(日常水質!$I$150:$N$150,MATCH($A34,日常水質!$I$141:$N$141,0))),INDEX(日常水質!$I$196:$N$196,MATCH($A34,日常水質!$I$187:$N$187,0))),"")</f>
        <v/>
      </c>
      <c r="O34" s="1065" t="n"/>
    </row>
    <row r="35" ht="13.5" customHeight="1" s="614">
      <c r="A35" s="1048">
        <f>IF(ISNUMBER(A34),IF(MONTH(A34+1)=MONTH($A$6),A34+1,""),"")</f>
        <v/>
      </c>
      <c r="B35" s="1049">
        <f>IF(ISNUMBER(A35),A35,"")</f>
        <v/>
      </c>
      <c r="C35" s="1062">
        <f>IFERROR(IFERROR(IFERROR(IFERROR(IFERROR(INDEX(日常水質!$I$4:$N$4,MATCH($A35,日常水質!$I$3:$N$3,0)),INDEX(日常水質!$I$50:$N$50,MATCH($A35,日常水質!$I$49:$N$49,0))),INDEX(日常水質!$I$96:$N$96,MATCH($A35,日常水質!$I$95:$N$95,0))),INDEX(日常水質!$I$142:$N$142,MATCH($A35,日常水質!$I$141:$N$141,0))),INDEX(日常水質!$I$188:$N$188,MATCH($A35,日常水質!$I$187:$N$187,0))),"")</f>
        <v/>
      </c>
      <c r="D35" s="1066">
        <f>IFERROR(IFERROR(IFERROR(IFERROR(IFERROR(INDEX(日常水質!$I$5:$N$5,MATCH($A35,日常水質!$I$3:$N$3,0)),INDEX(日常水質!$I$51:$N$51,MATCH($A35,日常水質!$I$49:$N$49,0))),INDEX(日常水質!$I$97:$N$97,MATCH($A35,日常水質!$I$95:$N$95,0))),INDEX(日常水質!$I$143:$N$143,MATCH($A35,日常水質!$I$141:$N$141,0))),INDEX(日常水質!$I$189:$N$189,MATCH($A35,日常水質!$I$187:$N$187,0))),"")</f>
        <v/>
      </c>
      <c r="E35" s="1066">
        <f>IFERROR(IFERROR(IFERROR(IFERROR(IFERROR(INDEX(日常水質!$I$6:$N$6,MATCH($A35,日常水質!$I$3:$N$3,0)),INDEX(日常水質!$I$52:$N$52,MATCH($A35,日常水質!$I$49:$N$49,0))),INDEX(日常水質!$I$98:$N$98,MATCH($A35,日常水質!$I$95:$N$95,0))),INDEX(日常水質!$I$144:$N$144,MATCH($A35,日常水質!$I$141:$N$141,0))),INDEX(日常水質!$I$190:$N$190,MATCH($A35,日常水質!$I$187:$N$187,0))),"")</f>
        <v/>
      </c>
      <c r="F35" s="1066">
        <f>IFERROR(IFERROR(IFERROR(IFERROR(IFERROR(INDEX(日常水質!$I$8:$N$8,MATCH($A35,日常水質!$I$3:$N$3,0)),INDEX(日常水質!$I$54:$N$54,MATCH($A35,日常水質!$I$49:$N$49,0))),INDEX(日常水質!$I$100:$N$100,MATCH($A35,日常水質!$I$95:$N$95,0))),INDEX(日常水質!$I$146:$N$146,MATCH($A35,日常水質!$I$141:$N$141,0))),INDEX(日常水質!$I$192:$N$192,MATCH($A35,日常水質!$I$187:$N$187,0))),"")</f>
        <v/>
      </c>
      <c r="G35" s="1067" t="n"/>
      <c r="H35" s="728" t="n"/>
      <c r="I35" s="728" t="n"/>
      <c r="J35" s="1068">
        <f>IFERROR(IFERROR(IFERROR(IFERROR(IFERROR(INDEX(日常水質!$I$10:$N$10,MATCH($A35,日常水質!$I$3:$N$3,0)),INDEX(日常水質!$I$56:$N$56,MATCH($A35,日常水質!$I$49:$N$49,0))),INDEX(日常水質!$I$102:$N$102,MATCH($A35,日常水質!$I$95:$N$95,0))),INDEX(日常水質!$I$148:$N$148,MATCH($A35,日常水質!$I$141:$N$141,0))),INDEX(日常水質!$I$194:$N$194,MATCH($A35,日常水質!$I$187:$N$187,0))),"")</f>
        <v/>
      </c>
      <c r="K35" s="1042">
        <f>IF(J35="","",IFERROR((J35-LOOKUP(2,1/(J$6:J34&lt;&gt;""),J$6:J34))/(A35-LOOKUP(2,1/(J$6:J34&lt;&gt;""),A$6:A34)),""))</f>
        <v/>
      </c>
      <c r="L35" s="1069">
        <f>IFERROR(IFERROR(IFERROR(IFERROR(IFERROR(INDEX(日常水質!$I$11:$N$11,MATCH($A35,日常水質!$I$3:$N$3,0)),INDEX(日常水質!$I$57:$N$57,MATCH($A35,日常水質!$I$49:$N$49,0))),INDEX(日常水質!$I$103:$N$103,MATCH($A35,日常水質!$I$95:$N$95,0))),INDEX(日常水質!$I$149:$N$149,MATCH($A35,日常水質!$I$141:$N$141,0))),INDEX(日常水質!$I$195:$N$195,MATCH($A35,日常水質!$I$187:$N$187,0))),"")</f>
        <v/>
      </c>
      <c r="M35" s="1043">
        <f>IF(L35="","",IFERROR((L35-LOOKUP(2,1/(L$6:L34&lt;&gt;""),L$6:L34))/(A35-LOOKUP(2,1/(L$6:L34&lt;&gt;""),A$6:A34)),""))</f>
        <v/>
      </c>
      <c r="N35" s="1061">
        <f>IFERROR(IFERROR(IFERROR(IFERROR(IFERROR(INDEX(日常水質!$I$12:$N$12,MATCH($A35,日常水質!$I$3:$N$3,0)),INDEX(日常水質!$I$58:$N$58,MATCH($A35,日常水質!$I$49:$N$49,0))),INDEX(日常水質!$I$104:$N$104,MATCH($A35,日常水質!$I$95:$N$95,0))),INDEX(日常水質!$I$150:$N$150,MATCH($A35,日常水質!$I$141:$N$141,0))),INDEX(日常水質!$I$196:$N$196,MATCH($A35,日常水質!$I$187:$N$187,0))),"")</f>
        <v/>
      </c>
      <c r="O35" s="1065" t="n"/>
    </row>
    <row r="36" ht="15" customHeight="1" s="614">
      <c r="A36" s="1071">
        <f>IF(ISNUMBER(A35),IF(MONTH(A35+1)=MONTH($A$6),A35+1,""),"")</f>
        <v/>
      </c>
      <c r="B36" s="1072">
        <f>IF(ISNUMBER(A36),A36,"")</f>
        <v/>
      </c>
      <c r="C36" s="1073">
        <f>IFERROR(IFERROR(IFERROR(IFERROR(IFERROR(INDEX(日常水質!$I$4:$N$4,MATCH($A36,日常水質!$I$3:$N$3,0)),INDEX(日常水質!$I$50:$N$50,MATCH($A36,日常水質!$I$49:$N$49,0))),INDEX(日常水質!$I$96:$N$96,MATCH($A36,日常水質!$I$95:$N$95,0))),INDEX(日常水質!$I$142:$N$142,MATCH($A36,日常水質!$I$141:$N$141,0))),INDEX(日常水質!$I$188:$N$188,MATCH($A36,日常水質!$I$187:$N$187,0))),"")</f>
        <v/>
      </c>
      <c r="D36" s="1074">
        <f>IFERROR(IFERROR(IFERROR(IFERROR(IFERROR(INDEX(日常水質!$I$5:$N$5,MATCH($A36,日常水質!$I$3:$N$3,0)),INDEX(日常水質!$I$51:$N$51,MATCH($A36,日常水質!$I$49:$N$49,0))),INDEX(日常水質!$I$97:$N$97,MATCH($A36,日常水質!$I$95:$N$95,0))),INDEX(日常水質!$I$143:$N$143,MATCH($A36,日常水質!$I$141:$N$141,0))),INDEX(日常水質!$I$189:$N$189,MATCH($A36,日常水質!$I$187:$N$187,0))),"")</f>
        <v/>
      </c>
      <c r="E36" s="1074">
        <f>IFERROR(IFERROR(IFERROR(IFERROR(IFERROR(INDEX(日常水質!$I$6:$N$6,MATCH($A36,日常水質!$I$3:$N$3,0)),INDEX(日常水質!$I$52:$N$52,MATCH($A36,日常水質!$I$49:$N$49,0))),INDEX(日常水質!$I$98:$N$98,MATCH($A36,日常水質!$I$95:$N$95,0))),INDEX(日常水質!$I$144:$N$144,MATCH($A36,日常水質!$I$141:$N$141,0))),INDEX(日常水質!$I$190:$N$190,MATCH($A36,日常水質!$I$187:$N$187,0))),"")</f>
        <v/>
      </c>
      <c r="F36" s="1074">
        <f>IFERROR(IFERROR(IFERROR(IFERROR(IFERROR(INDEX(日常水質!$I$8:$N$8,MATCH($A36,日常水質!$I$3:$N$3,0)),INDEX(日常水質!$I$54:$N$54,MATCH($A36,日常水質!$I$49:$N$49,0))),INDEX(日常水質!$I$100:$N$100,MATCH($A36,日常水質!$I$95:$N$95,0))),INDEX(日常水質!$I$146:$N$146,MATCH($A36,日常水質!$I$141:$N$141,0))),INDEX(日常水質!$I$192:$N$192,MATCH($A36,日常水質!$I$187:$N$187,0))),"")</f>
        <v/>
      </c>
      <c r="G36" s="1075" t="n"/>
      <c r="H36" s="1076" t="n"/>
      <c r="I36" s="1076" t="n"/>
      <c r="J36" s="1077">
        <f>IFERROR(IFERROR(IFERROR(IFERROR(IFERROR(INDEX(日常水質!$I$10:$N$10,MATCH($A36,日常水質!$I$3:$N$3,0)),INDEX(日常水質!$I$56:$N$56,MATCH($A36,日常水質!$I$49:$N$49,0))),INDEX(日常水質!$I$102:$N$102,MATCH($A36,日常水質!$I$95:$N$95,0))),INDEX(日常水質!$I$148:$N$148,MATCH($A36,日常水質!$I$141:$N$141,0))),INDEX(日常水質!$I$194:$N$194,MATCH($A36,日常水質!$I$187:$N$187,0))),"")</f>
        <v/>
      </c>
      <c r="K36" s="1077">
        <f>IF(J36="","",IFERROR((J36-LOOKUP(2,1/(J$6:J35&lt;&gt;""),J$6:J35))/(A36-LOOKUP(2,1/(J$6:J35&lt;&gt;""),A$6:A35)),""))</f>
        <v/>
      </c>
      <c r="L36" s="1078">
        <f>IFERROR(IFERROR(IFERROR(IFERROR(IFERROR(INDEX(日常水質!$I$11:$N$11,MATCH($A36,日常水質!$I$3:$N$3,0)),INDEX(日常水質!$I$57:$N$57,MATCH($A36,日常水質!$I$49:$N$49,0))),INDEX(日常水質!$I$103:$N$103,MATCH($A36,日常水質!$I$95:$N$95,0))),INDEX(日常水質!$I$149:$N$149,MATCH($A36,日常水質!$I$141:$N$141,0))),INDEX(日常水質!$I$195:$N$195,MATCH($A36,日常水質!$I$187:$N$187,0))),"")</f>
        <v/>
      </c>
      <c r="M36" s="1078">
        <f>IF(L36="","",IFERROR((L36-LOOKUP(2,1/(L$6:L35&lt;&gt;""),L$6:L35))/(A36-LOOKUP(2,1/(L$6:L35&lt;&gt;""),A$6:A35)),""))</f>
        <v/>
      </c>
      <c r="N36" s="1079">
        <f>IFERROR(IFERROR(IFERROR(IFERROR(IFERROR(INDEX(日常水質!$I$12:$N$12,MATCH($A36,日常水質!$I$3:$N$3,0)),INDEX(日常水質!$I$58:$N$58,MATCH($A36,日常水質!$I$49:$N$49,0))),INDEX(日常水質!$I$104:$N$104,MATCH($A36,日常水質!$I$95:$N$95,0))),INDEX(日常水質!$I$150:$N$150,MATCH($A36,日常水質!$I$141:$N$141,0))),INDEX(日常水質!$I$196:$N$196,MATCH($A36,日常水質!$I$187:$N$187,0))),"")</f>
        <v/>
      </c>
      <c r="O36" s="1065" t="n"/>
      <c r="P36" s="1058" t="n"/>
      <c r="R36" s="1059" t="n"/>
    </row>
    <row r="37" ht="15" customHeight="1" s="614">
      <c r="A37" s="646" t="inlineStr">
        <is>
          <t>最大</t>
        </is>
      </c>
      <c r="B37" s="654" t="n"/>
      <c r="C37" s="1080" t="inlineStr">
        <is>
          <t>-</t>
        </is>
      </c>
      <c r="D37" s="1080" t="inlineStr">
        <is>
          <t>-</t>
        </is>
      </c>
      <c r="E37" s="1080" t="inlineStr">
        <is>
          <t>-</t>
        </is>
      </c>
      <c r="F37" s="1080" t="inlineStr">
        <is>
          <t>-</t>
        </is>
      </c>
      <c r="G37" s="1039">
        <f>IFERROR(MAX(G6:G36),"")</f>
        <v/>
      </c>
      <c r="H37" s="1040">
        <f>IFERROR(MAX(H6:H36),"")</f>
        <v/>
      </c>
      <c r="I37" s="1040">
        <f>IFERROR(MAX(I6:I36),"")</f>
        <v/>
      </c>
      <c r="J37" s="1081" t="inlineStr">
        <is>
          <t>-</t>
        </is>
      </c>
      <c r="K37" s="1042">
        <f>IFERROR(MAX(K6:K36),"")</f>
        <v/>
      </c>
      <c r="L37" s="1081" t="inlineStr">
        <is>
          <t>-</t>
        </is>
      </c>
      <c r="M37" s="1043">
        <f>IFERROR(MAX(M6:M36),"")</f>
        <v/>
      </c>
      <c r="N37" s="1044">
        <f>IFERROR(MAX(N6:N36),"")</f>
        <v/>
      </c>
      <c r="O37" s="1082" t="n"/>
      <c r="P37" s="1058" t="n"/>
      <c r="R37" s="1058" t="n"/>
    </row>
    <row r="38" ht="13.5" customHeight="1" s="614">
      <c r="A38" s="1083" t="inlineStr">
        <is>
          <t>平均</t>
        </is>
      </c>
      <c r="B38" s="627" t="n"/>
      <c r="C38" s="1084" t="inlineStr">
        <is>
          <t>-</t>
        </is>
      </c>
      <c r="D38" s="1084" t="inlineStr">
        <is>
          <t>-</t>
        </is>
      </c>
      <c r="E38" s="1084" t="inlineStr">
        <is>
          <t>-</t>
        </is>
      </c>
      <c r="F38" s="1084" t="inlineStr">
        <is>
          <t>-</t>
        </is>
      </c>
      <c r="G38" s="1053">
        <f>IFERROR(AVERAGE(G6:G36),"")</f>
        <v/>
      </c>
      <c r="H38" s="1060">
        <f>IFERROR(AVERAGE(H6:H36),"")</f>
        <v/>
      </c>
      <c r="I38" s="1060">
        <f>IFERROR(AVERAGE(I6:I36),"")</f>
        <v/>
      </c>
      <c r="J38" s="1085" t="inlineStr">
        <is>
          <t>-</t>
        </is>
      </c>
      <c r="K38" s="1055">
        <f>IFERROR(AVERAGE(K6:K36),"")</f>
        <v/>
      </c>
      <c r="L38" s="1085" t="inlineStr">
        <is>
          <t>-</t>
        </is>
      </c>
      <c r="M38" s="1056">
        <f>IFERROR(AVERAGE(M6:M36),"")</f>
        <v/>
      </c>
      <c r="N38" s="1061">
        <f>IFERROR(AVERAGE(N6:N36),"")</f>
        <v/>
      </c>
      <c r="O38" s="1082" t="n"/>
    </row>
    <row r="39" ht="13.5" customHeight="1" s="614">
      <c r="A39" s="1083" t="inlineStr">
        <is>
          <t>最小</t>
        </is>
      </c>
      <c r="B39" s="627" t="n"/>
      <c r="C39" s="1084" t="inlineStr">
        <is>
          <t>-</t>
        </is>
      </c>
      <c r="D39" s="1084" t="inlineStr">
        <is>
          <t>-</t>
        </is>
      </c>
      <c r="E39" s="1084" t="inlineStr">
        <is>
          <t>-</t>
        </is>
      </c>
      <c r="F39" s="1084" t="inlineStr">
        <is>
          <t>-</t>
        </is>
      </c>
      <c r="G39" s="1053">
        <f>IFERROR(MIN(G6:G36),"")</f>
        <v/>
      </c>
      <c r="H39" s="1060">
        <f>IFERROR(MIN(H6:H36),"")</f>
        <v/>
      </c>
      <c r="I39" s="1060">
        <f>IFERROR(MIN(I6:I36),"")</f>
        <v/>
      </c>
      <c r="J39" s="1085" t="inlineStr">
        <is>
          <t>-</t>
        </is>
      </c>
      <c r="K39" s="1055">
        <f>IFERROR(MIN(K6:K36),"")</f>
        <v/>
      </c>
      <c r="L39" s="1085" t="inlineStr">
        <is>
          <t>-</t>
        </is>
      </c>
      <c r="M39" s="1055">
        <f>IFERROR(MIN(M6:M36),"")</f>
        <v/>
      </c>
      <c r="N39" s="1061">
        <f>IFERROR(MIN(N6:N36),"")</f>
        <v/>
      </c>
      <c r="O39" s="1057" t="n"/>
      <c r="P39" s="659" t="n"/>
    </row>
    <row r="40" ht="15" customHeight="1" s="614">
      <c r="A40" s="1086" t="inlineStr">
        <is>
          <t>合計</t>
        </is>
      </c>
      <c r="B40" s="1087" t="n"/>
      <c r="C40" s="1088" t="inlineStr">
        <is>
          <t>-</t>
        </is>
      </c>
      <c r="D40" s="1088" t="inlineStr">
        <is>
          <t>-</t>
        </is>
      </c>
      <c r="E40" s="1088" t="inlineStr">
        <is>
          <t>-</t>
        </is>
      </c>
      <c r="F40" s="1088" t="inlineStr">
        <is>
          <t>-</t>
        </is>
      </c>
      <c r="G40" s="1089">
        <f>IFERROR(SUM(G6:G36),0)</f>
        <v/>
      </c>
      <c r="H40" s="1090">
        <f>IFERROR(SUM(H6:H36),0)</f>
        <v/>
      </c>
      <c r="I40" s="1090">
        <f>IFERROR(SUM(I6:I36),0)</f>
        <v/>
      </c>
      <c r="J40" s="1091" t="inlineStr">
        <is>
          <t>-</t>
        </is>
      </c>
      <c r="K40" s="1092">
        <f>IFERROR(SUM(K6:K36),0)</f>
        <v/>
      </c>
      <c r="L40" s="1091" t="inlineStr">
        <is>
          <t>-</t>
        </is>
      </c>
      <c r="M40" s="1093">
        <f>IFERROR(SUM(M6:M36),0)</f>
        <v/>
      </c>
      <c r="N40" s="1094">
        <f>IFERROR(SUM(N6:N36),0)</f>
        <v/>
      </c>
      <c r="O40" s="1095" t="n"/>
      <c r="P40" s="1096" t="n"/>
    </row>
    <row r="41" hidden="1" ht="30" customHeight="1" s="614">
      <c r="J41" s="613" t="n"/>
    </row>
    <row r="42" hidden="1" ht="13.5" customHeight="1" s="614">
      <c r="A42" s="613" t="n"/>
      <c r="B42" s="1015" t="n"/>
      <c r="C42" s="613" t="n"/>
      <c r="D42" s="613" t="n"/>
      <c r="E42" s="613" t="n"/>
      <c r="F42" s="613" t="n"/>
      <c r="H42" s="613" t="n"/>
      <c r="J42" s="613" t="n"/>
      <c r="L42" s="613" t="n"/>
    </row>
    <row r="43" hidden="1" ht="13.5" customHeight="1" s="614">
      <c r="G43" s="613" t="n"/>
      <c r="H43" s="613" t="n"/>
      <c r="I43" s="613" t="n"/>
      <c r="J43" s="613" t="n"/>
    </row>
    <row r="44" hidden="1" ht="13.5" customHeight="1" s="614">
      <c r="J44" s="613" t="n"/>
    </row>
    <row r="45" hidden="1" ht="13.5" customHeight="1" s="614">
      <c r="J45" s="613" t="n"/>
      <c r="L45" s="613" t="n"/>
    </row>
    <row r="46" hidden="1" ht="13.5" customHeight="1" s="614"/>
    <row r="47" hidden="1" ht="13.5" customHeight="1" s="614"/>
    <row r="48" hidden="1" ht="13.5" customHeight="1" s="614"/>
    <row r="49" hidden="1" ht="13.5" customHeight="1" s="614"/>
    <row r="50" hidden="1" ht="13.5" customHeight="1" s="614"/>
    <row r="51" hidden="1" ht="13.5" customHeight="1" s="614"/>
    <row r="52" hidden="1" ht="13.5" customHeight="1" s="614"/>
    <row r="53" hidden="1" ht="13.5" customHeight="1" s="614"/>
    <row r="54" hidden="1" ht="13.5" customHeight="1" s="614"/>
    <row r="55" hidden="1" ht="13.5" customHeight="1" s="614"/>
    <row r="56" hidden="1" ht="13.5" customHeight="1" s="614"/>
    <row r="57" hidden="1" ht="13.5" customHeight="1" s="614"/>
    <row r="58" hidden="1" ht="13.5" customHeight="1" s="614"/>
    <row r="59" hidden="1" ht="13.5" customHeight="1" s="614"/>
    <row r="60" hidden="1" ht="13.5" customHeight="1" s="614"/>
    <row r="61" hidden="1" ht="13.5" customHeight="1" s="614"/>
    <row r="62" hidden="1" ht="13.5" customHeight="1" s="614"/>
    <row r="63" hidden="1" ht="13.5" customHeight="1" s="614"/>
    <row r="64" hidden="1" ht="13.5" customHeight="1" s="614"/>
    <row r="65" hidden="1" ht="13.5" customHeight="1" s="614"/>
    <row r="66" hidden="1" ht="13.5" customHeight="1" s="614"/>
    <row r="67" hidden="1" ht="13.5" customHeight="1" s="614"/>
    <row r="68" hidden="1" ht="13.5" customHeight="1" s="614"/>
    <row r="69" hidden="1" ht="13.5" customHeight="1" s="614"/>
    <row r="70" hidden="1" ht="13.5" customHeight="1" s="614"/>
    <row r="71" hidden="1" ht="13.5" customHeight="1" s="614"/>
    <row r="72" hidden="1" ht="13.5" customHeight="1" s="614"/>
    <row r="73" hidden="1" ht="13.5" customHeight="1" s="614"/>
    <row r="74" hidden="1" ht="13.5" customHeight="1" s="614"/>
    <row r="75" hidden="1" ht="13.5" customHeight="1" s="614"/>
    <row r="76" hidden="1" ht="13.5" customHeight="1" s="614"/>
    <row r="77" hidden="1" ht="13.5" customHeight="1" s="614">
      <c r="A77" s="613" t="n"/>
    </row>
    <row r="78" hidden="1" ht="13.5" customHeight="1" s="614">
      <c r="A78" s="613" t="n"/>
    </row>
    <row r="79" hidden="1" ht="13.5" customHeight="1" s="614">
      <c r="A79" s="613" t="n"/>
    </row>
    <row r="80" hidden="1" ht="13.5" customHeight="1" s="614">
      <c r="A80" s="613" t="n"/>
    </row>
    <row r="81" hidden="1" ht="30" customHeight="1" s="614">
      <c r="J81" s="613" t="n"/>
    </row>
    <row r="82" hidden="1" ht="13.5" customHeight="1" s="614">
      <c r="A82" s="613" t="n"/>
      <c r="B82" s="1015" t="n"/>
      <c r="C82" s="613" t="n"/>
      <c r="D82" s="613" t="n"/>
      <c r="E82" s="613" t="n"/>
      <c r="F82" s="613" t="n"/>
      <c r="H82" s="613" t="n"/>
      <c r="J82" s="613" t="n"/>
      <c r="L82" s="613" t="n"/>
    </row>
    <row r="83" hidden="1" ht="13.5" customHeight="1" s="614">
      <c r="G83" s="613" t="n"/>
      <c r="H83" s="613" t="n"/>
      <c r="I83" s="613" t="n"/>
      <c r="J83" s="613" t="n"/>
    </row>
    <row r="84" hidden="1" ht="13.5" customHeight="1" s="614">
      <c r="J84" s="613" t="n"/>
    </row>
    <row r="85" hidden="1" ht="13.5" customHeight="1" s="614">
      <c r="J85" s="613" t="n"/>
      <c r="L85" s="613" t="n"/>
    </row>
    <row r="86" hidden="1" ht="13.5" customHeight="1" s="614"/>
    <row r="87" hidden="1" ht="13.5" customHeight="1" s="614"/>
    <row r="88" hidden="1" ht="13.5" customHeight="1" s="614"/>
    <row r="89" hidden="1" ht="13.5" customHeight="1" s="614"/>
    <row r="90" hidden="1" ht="13.5" customHeight="1" s="614"/>
    <row r="91" hidden="1" ht="13.5" customHeight="1" s="614"/>
    <row r="92" hidden="1" ht="13.5" customHeight="1" s="614"/>
    <row r="93" hidden="1" ht="13.5" customHeight="1" s="614"/>
    <row r="94" hidden="1" ht="13.5" customHeight="1" s="614"/>
    <row r="95" hidden="1" ht="13.5" customHeight="1" s="614"/>
    <row r="96" hidden="1" ht="13.5" customHeight="1" s="614"/>
    <row r="97" hidden="1" ht="13.5" customHeight="1" s="614"/>
    <row r="98" hidden="1" ht="13.5" customHeight="1" s="614"/>
    <row r="99" hidden="1" ht="13.5" customHeight="1" s="614"/>
    <row r="100" hidden="1" ht="13.5" customHeight="1" s="614"/>
    <row r="101" hidden="1" ht="13.5" customHeight="1" s="614"/>
    <row r="102" hidden="1" ht="13.5" customHeight="1" s="614"/>
    <row r="103" hidden="1" ht="13.5" customHeight="1" s="614"/>
    <row r="104" hidden="1" ht="13.5" customHeight="1" s="614"/>
    <row r="105" hidden="1" ht="13.5" customHeight="1" s="614"/>
    <row r="106" hidden="1" ht="13.5" customHeight="1" s="614"/>
    <row r="107" hidden="1" ht="13.5" customHeight="1" s="614"/>
    <row r="108" hidden="1" ht="13.5" customHeight="1" s="614"/>
    <row r="109" hidden="1" ht="13.5" customHeight="1" s="614"/>
    <row r="110" hidden="1" ht="13.5" customHeight="1" s="614"/>
    <row r="111" hidden="1" ht="13.5" customHeight="1" s="614"/>
    <row r="112" hidden="1" ht="13.5" customHeight="1" s="614"/>
    <row r="113" hidden="1" ht="13.5" customHeight="1" s="614"/>
    <row r="114" hidden="1" ht="13.5" customHeight="1" s="614"/>
    <row r="115" hidden="1" ht="13.5" customHeight="1" s="614"/>
    <row r="116" hidden="1" ht="13.5" customHeight="1" s="614"/>
    <row r="117" hidden="1" ht="13.5" customHeight="1" s="614">
      <c r="A117" s="613" t="n"/>
    </row>
    <row r="118" hidden="1" ht="13.5" customHeight="1" s="614">
      <c r="A118" s="613" t="n"/>
    </row>
    <row r="119" hidden="1" ht="13.5" customHeight="1" s="614">
      <c r="A119" s="613" t="n"/>
    </row>
    <row r="120" hidden="1" ht="13.5" customHeight="1" s="614">
      <c r="A120" s="613" t="n"/>
    </row>
    <row r="121" hidden="1" ht="30" customHeight="1" s="614">
      <c r="J121" s="613" t="n"/>
    </row>
    <row r="122" hidden="1" ht="13.5" customHeight="1" s="614">
      <c r="A122" s="613" t="n"/>
      <c r="B122" s="1015" t="n"/>
      <c r="C122" s="613" t="n"/>
      <c r="D122" s="613" t="n"/>
      <c r="E122" s="613" t="n"/>
      <c r="F122" s="613" t="n"/>
      <c r="H122" s="613" t="n"/>
      <c r="J122" s="613" t="n"/>
      <c r="L122" s="613" t="n"/>
    </row>
    <row r="123" hidden="1" ht="13.5" customHeight="1" s="614">
      <c r="G123" s="613" t="n"/>
      <c r="H123" s="613" t="n"/>
      <c r="I123" s="613" t="n"/>
      <c r="J123" s="613" t="n"/>
    </row>
    <row r="124" hidden="1" ht="13.5" customHeight="1" s="614">
      <c r="J124" s="613" t="n"/>
    </row>
    <row r="125" hidden="1" ht="13.5" customHeight="1" s="614">
      <c r="J125" s="613" t="n"/>
      <c r="L125" s="613" t="n"/>
    </row>
    <row r="126" hidden="1" ht="13.5" customHeight="1" s="614"/>
    <row r="127" hidden="1" ht="13.5" customHeight="1" s="614"/>
    <row r="128" hidden="1" ht="13.5" customHeight="1" s="614"/>
    <row r="129" hidden="1" ht="13.5" customHeight="1" s="614"/>
    <row r="130" hidden="1" ht="13.5" customHeight="1" s="614"/>
    <row r="131" hidden="1" ht="13.5" customHeight="1" s="614"/>
    <row r="132" hidden="1" ht="13.5" customHeight="1" s="614"/>
    <row r="133" hidden="1" ht="13.5" customHeight="1" s="614"/>
    <row r="134" hidden="1" ht="13.5" customHeight="1" s="614"/>
    <row r="135" hidden="1" ht="13.5" customHeight="1" s="614"/>
    <row r="136" hidden="1" ht="13.5" customHeight="1" s="614"/>
    <row r="137" hidden="1" ht="13.5" customHeight="1" s="614"/>
    <row r="138" hidden="1" ht="13.5" customHeight="1" s="614"/>
    <row r="139" hidden="1" ht="13.5" customHeight="1" s="614"/>
    <row r="140" hidden="1" ht="13.5" customHeight="1" s="614"/>
    <row r="141" hidden="1" ht="13.5" customHeight="1" s="614"/>
    <row r="142" hidden="1" ht="13.5" customHeight="1" s="614"/>
    <row r="143" hidden="1" ht="13.5" customHeight="1" s="614"/>
    <row r="144" hidden="1" ht="13.5" customHeight="1" s="614"/>
    <row r="145" hidden="1" ht="13.5" customHeight="1" s="614"/>
    <row r="146" hidden="1" ht="13.5" customHeight="1" s="614"/>
    <row r="147" hidden="1" ht="13.5" customHeight="1" s="614"/>
    <row r="148" hidden="1" ht="13.5" customHeight="1" s="614"/>
    <row r="149" hidden="1" ht="13.5" customHeight="1" s="614"/>
    <row r="150" hidden="1" ht="13.5" customHeight="1" s="614"/>
    <row r="151" hidden="1" ht="13.5" customHeight="1" s="614"/>
    <row r="152" hidden="1" ht="13.5" customHeight="1" s="614"/>
    <row r="153" hidden="1" ht="13.5" customHeight="1" s="614"/>
    <row r="154" hidden="1" ht="13.5" customHeight="1" s="614"/>
    <row r="155" hidden="1" ht="13.5" customHeight="1" s="614"/>
    <row r="156" hidden="1" ht="13.5" customHeight="1" s="614"/>
    <row r="157" hidden="1" ht="13.5" customHeight="1" s="614">
      <c r="A157" s="613" t="n"/>
    </row>
    <row r="158" hidden="1" ht="13.5" customHeight="1" s="614">
      <c r="A158" s="613" t="n"/>
    </row>
    <row r="159" hidden="1" ht="13.5" customHeight="1" s="614">
      <c r="A159" s="613" t="n"/>
    </row>
    <row r="160" hidden="1" ht="13.5" customHeight="1" s="614">
      <c r="A160" s="613" t="n"/>
    </row>
    <row r="161" hidden="1" ht="30" customHeight="1" s="614">
      <c r="J161" s="613" t="n"/>
    </row>
    <row r="162" hidden="1" ht="13.5" customHeight="1" s="614">
      <c r="A162" s="613" t="n"/>
      <c r="B162" s="1015" t="n"/>
      <c r="C162" s="613" t="n"/>
      <c r="D162" s="613" t="n"/>
      <c r="E162" s="613" t="n"/>
      <c r="F162" s="613" t="n"/>
      <c r="H162" s="613" t="n"/>
      <c r="J162" s="613" t="n"/>
      <c r="L162" s="613" t="n"/>
    </row>
    <row r="163" hidden="1" ht="13.5" customHeight="1" s="614">
      <c r="G163" s="613" t="n"/>
      <c r="H163" s="613" t="n"/>
      <c r="I163" s="613" t="n"/>
      <c r="J163" s="613" t="n"/>
    </row>
    <row r="164" hidden="1" ht="13.5" customHeight="1" s="614">
      <c r="J164" s="613" t="n"/>
    </row>
    <row r="165" hidden="1" ht="13.5" customHeight="1" s="614">
      <c r="J165" s="613" t="n"/>
      <c r="L165" s="613" t="n"/>
    </row>
    <row r="166" hidden="1" ht="13.5" customHeight="1" s="614"/>
    <row r="167" hidden="1" ht="13.5" customHeight="1" s="614"/>
    <row r="168" hidden="1" ht="13.5" customHeight="1" s="614"/>
    <row r="169" hidden="1" ht="13.5" customHeight="1" s="614"/>
    <row r="170" hidden="1" ht="13.5" customHeight="1" s="614"/>
    <row r="171" hidden="1" ht="13.5" customHeight="1" s="614"/>
    <row r="172" hidden="1" ht="13.5" customHeight="1" s="614"/>
    <row r="173" hidden="1" ht="13.5" customHeight="1" s="614"/>
    <row r="174" hidden="1" ht="13.5" customHeight="1" s="614"/>
    <row r="175" hidden="1" ht="13.5" customHeight="1" s="614"/>
    <row r="176" hidden="1" ht="13.5" customHeight="1" s="614"/>
    <row r="177" hidden="1" ht="13.5" customHeight="1" s="614"/>
    <row r="178" hidden="1" ht="13.5" customHeight="1" s="614"/>
    <row r="179" hidden="1" ht="13.5" customHeight="1" s="614"/>
    <row r="180" hidden="1" ht="13.5" customHeight="1" s="614"/>
    <row r="181" hidden="1" ht="13.5" customHeight="1" s="614"/>
    <row r="182" hidden="1" ht="13.5" customHeight="1" s="614"/>
    <row r="183" hidden="1" ht="13.5" customHeight="1" s="614"/>
    <row r="184" hidden="1" ht="13.5" customHeight="1" s="614"/>
    <row r="185" hidden="1" ht="13.5" customHeight="1" s="614"/>
    <row r="186" hidden="1" ht="13.5" customHeight="1" s="614"/>
    <row r="187" hidden="1" ht="13.5" customHeight="1" s="614"/>
    <row r="188" hidden="1" ht="13.5" customHeight="1" s="614"/>
    <row r="189" hidden="1" ht="13.5" customHeight="1" s="614"/>
    <row r="190" hidden="1" ht="13.5" customHeight="1" s="614"/>
    <row r="191" hidden="1" ht="13.5" customHeight="1" s="614"/>
    <row r="192" hidden="1" ht="13.5" customHeight="1" s="614"/>
    <row r="193" hidden="1" ht="13.5" customHeight="1" s="614"/>
    <row r="194" hidden="1" ht="13.5" customHeight="1" s="614"/>
    <row r="195" hidden="1" ht="13.5" customHeight="1" s="614"/>
    <row r="196" hidden="1" ht="13.5" customHeight="1" s="614"/>
    <row r="197" hidden="1" ht="13.5" customHeight="1" s="614">
      <c r="A197" s="613" t="n"/>
    </row>
    <row r="198" hidden="1" ht="13.5" customHeight="1" s="614">
      <c r="A198" s="613" t="n"/>
    </row>
    <row r="199" hidden="1" ht="13.5" customHeight="1" s="614">
      <c r="A199" s="613" t="n"/>
    </row>
    <row r="200" hidden="1" ht="13.5" customHeight="1" s="614">
      <c r="A200" s="613" t="n"/>
    </row>
    <row r="201" hidden="1" ht="30" customHeight="1" s="614">
      <c r="J201" s="613" t="n"/>
    </row>
    <row r="202" hidden="1" ht="13.5" customHeight="1" s="614">
      <c r="A202" s="613" t="n"/>
      <c r="B202" s="1015" t="n"/>
      <c r="C202" s="613" t="n"/>
      <c r="D202" s="613" t="n"/>
      <c r="E202" s="613" t="n"/>
      <c r="F202" s="613" t="n"/>
      <c r="H202" s="613" t="n"/>
      <c r="J202" s="613" t="n"/>
      <c r="L202" s="613" t="n"/>
    </row>
    <row r="203" hidden="1" ht="13.5" customHeight="1" s="614">
      <c r="G203" s="613" t="n"/>
      <c r="H203" s="613" t="n"/>
      <c r="I203" s="613" t="n"/>
      <c r="J203" s="613" t="n"/>
    </row>
    <row r="204" hidden="1" ht="13.5" customHeight="1" s="614">
      <c r="J204" s="613" t="n"/>
    </row>
    <row r="205" hidden="1" ht="13.5" customHeight="1" s="614">
      <c r="J205" s="613" t="n"/>
      <c r="L205" s="613" t="n"/>
    </row>
    <row r="206" hidden="1" ht="13.5" customHeight="1" s="614"/>
    <row r="207" hidden="1" ht="13.5" customHeight="1" s="614"/>
    <row r="208" hidden="1" ht="13.5" customHeight="1" s="614"/>
    <row r="209" hidden="1" ht="13.5" customHeight="1" s="614"/>
    <row r="210" hidden="1" ht="13.5" customHeight="1" s="614"/>
    <row r="211" hidden="1" ht="13.5" customHeight="1" s="614"/>
    <row r="212" hidden="1" ht="13.5" customHeight="1" s="614"/>
    <row r="213" hidden="1" ht="13.5" customHeight="1" s="614"/>
    <row r="214" hidden="1" ht="13.5" customHeight="1" s="614"/>
    <row r="215" hidden="1" ht="13.5" customHeight="1" s="614"/>
    <row r="216" hidden="1" ht="13.5" customHeight="1" s="614"/>
    <row r="217" hidden="1" ht="13.5" customHeight="1" s="614"/>
    <row r="218" hidden="1" ht="13.5" customHeight="1" s="614"/>
    <row r="219" hidden="1" ht="13.5" customHeight="1" s="614"/>
    <row r="220" hidden="1" ht="13.5" customHeight="1" s="614"/>
    <row r="221" hidden="1" ht="13.5" customHeight="1" s="614"/>
    <row r="222" hidden="1" ht="13.5" customHeight="1" s="614"/>
    <row r="223" hidden="1" ht="13.5" customHeight="1" s="614"/>
    <row r="224" hidden="1" ht="13.5" customHeight="1" s="614"/>
    <row r="225" hidden="1" ht="13.5" customHeight="1" s="614"/>
    <row r="226" hidden="1" ht="13.5" customHeight="1" s="614"/>
    <row r="227" hidden="1" ht="13.5" customHeight="1" s="614"/>
    <row r="228" hidden="1" ht="13.5" customHeight="1" s="614"/>
    <row r="229" hidden="1" ht="13.5" customHeight="1" s="614"/>
    <row r="230" hidden="1" ht="13.5" customHeight="1" s="614"/>
    <row r="231" hidden="1" ht="13.5" customHeight="1" s="614"/>
    <row r="232" hidden="1" ht="13.5" customHeight="1" s="614"/>
    <row r="233" hidden="1" ht="13.5" customHeight="1" s="614"/>
    <row r="234" hidden="1" ht="13.5" customHeight="1" s="614"/>
    <row r="235" hidden="1" ht="13.5" customHeight="1" s="614"/>
    <row r="236" hidden="1" ht="13.5" customHeight="1" s="614"/>
    <row r="237" hidden="1" ht="13.5" customHeight="1" s="614">
      <c r="A237" s="613" t="n"/>
    </row>
    <row r="238" hidden="1" ht="13.5" customHeight="1" s="614">
      <c r="A238" s="613" t="n"/>
    </row>
    <row r="239" hidden="1" ht="13.5" customHeight="1" s="614">
      <c r="A239" s="613" t="n"/>
    </row>
    <row r="240" hidden="1" ht="13.5" customHeight="1" s="614">
      <c r="A240" s="613" t="n"/>
    </row>
    <row r="241" hidden="1" ht="30" customHeight="1" s="614">
      <c r="J241" s="613" t="n"/>
    </row>
    <row r="242" hidden="1" ht="13.5" customHeight="1" s="614">
      <c r="A242" s="613" t="n"/>
      <c r="B242" s="1015" t="n"/>
      <c r="C242" s="613" t="n"/>
      <c r="D242" s="613" t="n"/>
      <c r="E242" s="613" t="n"/>
      <c r="F242" s="613" t="n"/>
      <c r="H242" s="613" t="n"/>
      <c r="J242" s="613" t="n"/>
      <c r="L242" s="613" t="n"/>
    </row>
    <row r="243" hidden="1" ht="13.5" customHeight="1" s="614">
      <c r="G243" s="613" t="n"/>
      <c r="H243" s="613" t="n"/>
      <c r="I243" s="613" t="n"/>
      <c r="J243" s="613" t="n"/>
    </row>
    <row r="244" hidden="1" ht="13.5" customHeight="1" s="614">
      <c r="J244" s="613" t="n"/>
    </row>
    <row r="245" hidden="1" ht="13.5" customHeight="1" s="614">
      <c r="J245" s="613" t="n"/>
      <c r="L245" s="613" t="n"/>
    </row>
    <row r="246" hidden="1" ht="13.5" customHeight="1" s="614"/>
    <row r="247" hidden="1" ht="13.5" customHeight="1" s="614"/>
    <row r="248" hidden="1" ht="13.5" customHeight="1" s="614"/>
    <row r="249" hidden="1" ht="13.5" customHeight="1" s="614"/>
    <row r="250" hidden="1" ht="13.5" customHeight="1" s="614"/>
    <row r="251" hidden="1" ht="13.5" customHeight="1" s="614"/>
    <row r="252" hidden="1" ht="13.5" customHeight="1" s="614"/>
    <row r="253" hidden="1" ht="13.5" customHeight="1" s="614"/>
    <row r="254" hidden="1" ht="13.5" customHeight="1" s="614"/>
    <row r="255" hidden="1" ht="13.5" customHeight="1" s="614"/>
    <row r="256" hidden="1" ht="13.5" customHeight="1" s="614"/>
    <row r="257" hidden="1" ht="13.5" customHeight="1" s="614"/>
    <row r="258" hidden="1" ht="13.5" customHeight="1" s="614"/>
    <row r="259" hidden="1" ht="13.5" customHeight="1" s="614"/>
    <row r="260" hidden="1" ht="13.5" customHeight="1" s="614"/>
    <row r="261" hidden="1" ht="13.5" customHeight="1" s="614"/>
    <row r="262" hidden="1" ht="13.5" customHeight="1" s="614"/>
    <row r="263" hidden="1" ht="13.5" customHeight="1" s="614"/>
    <row r="264" hidden="1" ht="13.5" customHeight="1" s="614"/>
    <row r="265" hidden="1" ht="13.5" customHeight="1" s="614"/>
    <row r="266" hidden="1" ht="13.5" customHeight="1" s="614"/>
    <row r="267" hidden="1" ht="13.5" customHeight="1" s="614"/>
    <row r="268" hidden="1" ht="13.5" customHeight="1" s="614"/>
    <row r="269" hidden="1" ht="13.5" customHeight="1" s="614"/>
    <row r="270" hidden="1" ht="13.5" customHeight="1" s="614"/>
    <row r="271" hidden="1" ht="13.5" customHeight="1" s="614"/>
    <row r="272" hidden="1" ht="13.5" customHeight="1" s="614"/>
    <row r="273" hidden="1" ht="13.5" customHeight="1" s="614"/>
    <row r="274" hidden="1" ht="13.5" customHeight="1" s="614"/>
    <row r="275" hidden="1" ht="13.5" customHeight="1" s="614"/>
    <row r="276" hidden="1" ht="13.5" customHeight="1" s="614"/>
    <row r="277" hidden="1" ht="13.5" customHeight="1" s="614">
      <c r="A277" s="613" t="n"/>
    </row>
    <row r="278" hidden="1" ht="13.5" customHeight="1" s="614">
      <c r="A278" s="613" t="n"/>
    </row>
    <row r="279" hidden="1" ht="13.5" customHeight="1" s="614">
      <c r="A279" s="613" t="n"/>
    </row>
    <row r="280" hidden="1" ht="13.5" customHeight="1" s="614">
      <c r="A280" s="613" t="n"/>
    </row>
  </sheetData>
  <mergeCells count="148">
    <mergeCell ref="H82:I82"/>
    <mergeCell ref="J82:K82"/>
    <mergeCell ref="E162:E164"/>
    <mergeCell ref="A162:A165"/>
    <mergeCell ref="J1:N1"/>
    <mergeCell ref="L82:M84"/>
    <mergeCell ref="H163:H164"/>
    <mergeCell ref="G3:G4"/>
    <mergeCell ref="A277:B277"/>
    <mergeCell ref="I3:I4"/>
    <mergeCell ref="L5:M5"/>
    <mergeCell ref="J45:K45"/>
    <mergeCell ref="L45:M45"/>
    <mergeCell ref="A242:A245"/>
    <mergeCell ref="I43:I44"/>
    <mergeCell ref="G123:G124"/>
    <mergeCell ref="J4:K4"/>
    <mergeCell ref="I123:I124"/>
    <mergeCell ref="L122:M124"/>
    <mergeCell ref="A2:A5"/>
    <mergeCell ref="A278:B278"/>
    <mergeCell ref="E82:E84"/>
    <mergeCell ref="F202:F204"/>
    <mergeCell ref="J242:K242"/>
    <mergeCell ref="D2:D4"/>
    <mergeCell ref="G163:G164"/>
    <mergeCell ref="J81:L81"/>
    <mergeCell ref="A240:B240"/>
    <mergeCell ref="A117:B117"/>
    <mergeCell ref="L202:M204"/>
    <mergeCell ref="J163:K163"/>
    <mergeCell ref="J203:K203"/>
    <mergeCell ref="A39:B39"/>
    <mergeCell ref="H162:I162"/>
    <mergeCell ref="B122:B125"/>
    <mergeCell ref="D162:D164"/>
    <mergeCell ref="H43:H44"/>
    <mergeCell ref="J243:K243"/>
    <mergeCell ref="H83:H84"/>
    <mergeCell ref="J165:K165"/>
    <mergeCell ref="C122:C124"/>
    <mergeCell ref="G243:G244"/>
    <mergeCell ref="A79:B79"/>
    <mergeCell ref="B2:B5"/>
    <mergeCell ref="D42:D44"/>
    <mergeCell ref="I243:I244"/>
    <mergeCell ref="B42:B45"/>
    <mergeCell ref="J41:L41"/>
    <mergeCell ref="E242:E244"/>
    <mergeCell ref="A37:B37"/>
    <mergeCell ref="J245:K245"/>
    <mergeCell ref="J83:K83"/>
    <mergeCell ref="J121:L121"/>
    <mergeCell ref="L42:M44"/>
    <mergeCell ref="J85:K85"/>
    <mergeCell ref="J205:K205"/>
    <mergeCell ref="L85:M85"/>
    <mergeCell ref="J3:K3"/>
    <mergeCell ref="J125:K125"/>
    <mergeCell ref="G203:G204"/>
    <mergeCell ref="D122:D124"/>
    <mergeCell ref="F122:F124"/>
    <mergeCell ref="A82:A85"/>
    <mergeCell ref="J161:L161"/>
    <mergeCell ref="A77:B77"/>
    <mergeCell ref="B202:B205"/>
    <mergeCell ref="J241:L241"/>
    <mergeCell ref="A157:B157"/>
    <mergeCell ref="A279:B279"/>
    <mergeCell ref="C2:C4"/>
    <mergeCell ref="L125:M125"/>
    <mergeCell ref="H122:I122"/>
    <mergeCell ref="C82:C84"/>
    <mergeCell ref="A119:B119"/>
    <mergeCell ref="I203:I204"/>
    <mergeCell ref="H202:I202"/>
    <mergeCell ref="D202:D204"/>
    <mergeCell ref="J202:K202"/>
    <mergeCell ref="B242:B245"/>
    <mergeCell ref="H123:H124"/>
    <mergeCell ref="A78:B78"/>
    <mergeCell ref="L245:M245"/>
    <mergeCell ref="H203:H204"/>
    <mergeCell ref="D82:D84"/>
    <mergeCell ref="F82:F84"/>
    <mergeCell ref="B82:B85"/>
    <mergeCell ref="A80:B80"/>
    <mergeCell ref="J201:L201"/>
    <mergeCell ref="A120:B120"/>
    <mergeCell ref="A239:B239"/>
    <mergeCell ref="H2:I2"/>
    <mergeCell ref="E122:E124"/>
    <mergeCell ref="A42:A45"/>
    <mergeCell ref="H3:H4"/>
    <mergeCell ref="B162:B165"/>
    <mergeCell ref="A200:B200"/>
    <mergeCell ref="A38:B38"/>
    <mergeCell ref="A122:A125"/>
    <mergeCell ref="C162:C164"/>
    <mergeCell ref="C202:C204"/>
    <mergeCell ref="A280:B280"/>
    <mergeCell ref="A202:A205"/>
    <mergeCell ref="C242:C244"/>
    <mergeCell ref="J2:K2"/>
    <mergeCell ref="H42:I42"/>
    <mergeCell ref="F2:F4"/>
    <mergeCell ref="J42:K42"/>
    <mergeCell ref="F42:F44"/>
    <mergeCell ref="A40:B40"/>
    <mergeCell ref="E2:E4"/>
    <mergeCell ref="J44:K44"/>
    <mergeCell ref="J122:K122"/>
    <mergeCell ref="L2:M4"/>
    <mergeCell ref="G43:G44"/>
    <mergeCell ref="J5:K5"/>
    <mergeCell ref="A197:B197"/>
    <mergeCell ref="J84:K84"/>
    <mergeCell ref="I163:I164"/>
    <mergeCell ref="A237:B237"/>
    <mergeCell ref="L165:M165"/>
    <mergeCell ref="L205:M205"/>
    <mergeCell ref="J123:K123"/>
    <mergeCell ref="G83:G84"/>
    <mergeCell ref="I83:I84"/>
    <mergeCell ref="A118:B118"/>
    <mergeCell ref="C42:C44"/>
    <mergeCell ref="A158:B158"/>
    <mergeCell ref="A198:B198"/>
    <mergeCell ref="E42:E44"/>
    <mergeCell ref="A238:B238"/>
    <mergeCell ref="H243:H244"/>
    <mergeCell ref="J162:K162"/>
    <mergeCell ref="F162:F164"/>
    <mergeCell ref="D242:D244"/>
    <mergeCell ref="F242:F244"/>
    <mergeCell ref="A160:B160"/>
    <mergeCell ref="J124:K124"/>
    <mergeCell ref="J164:K164"/>
    <mergeCell ref="A159:B159"/>
    <mergeCell ref="L162:M164"/>
    <mergeCell ref="L242:M244"/>
    <mergeCell ref="J43:K43"/>
    <mergeCell ref="A199:B199"/>
    <mergeCell ref="H242:I242"/>
    <mergeCell ref="N2:N4"/>
    <mergeCell ref="J204:K204"/>
    <mergeCell ref="E202:E204"/>
    <mergeCell ref="J244:K244"/>
  </mergeCells>
  <printOptions horizontalCentered="1" verticalCentered="1" headings="0" gridLines="0" gridLinesSet="1"/>
  <pageMargins left="0.39375" right="0.39375" top="0.590277777777778" bottom="0.590277777777778" header="0.511811023622047" footer="0.511811023622047"/>
  <pageSetup orientation="landscape" paperSize="9" scale="88" fitToHeight="1" fitToWidth="1" pageOrder="downThenOver" blackAndWhite="0" draft="0" horizontalDpi="300" verticalDpi="300" copies="1"/>
  <rowBreaks count="1" manualBreakCount="1">
    <brk id="80" min="0" max="16383" man="1"/>
  </rowBreaks>
</worksheet>
</file>

<file path=xl/worksheets/sheet5.xml><?xml version="1.0" encoding="utf-8"?>
<worksheet xmlns="http://schemas.openxmlformats.org/spreadsheetml/2006/main">
  <sheetPr filterMode="0">
    <outlinePr summaryBelow="1" summaryRight="1"/>
    <pageSetUpPr fitToPage="0"/>
  </sheetPr>
  <dimension ref="A1:R82"/>
  <sheetViews>
    <sheetView showFormulas="0" showGridLines="1" showRowColHeaders="1" showZeros="1" rightToLeft="0" tabSelected="0" showOutlineSymbols="1" defaultGridColor="1" view="normal" topLeftCell="A9" colorId="64" zoomScale="100" zoomScaleNormal="100" zoomScalePageLayoutView="100" workbookViewId="0">
      <selection pane="topLeft" activeCell="S24" activeCellId="0" sqref="S24"/>
    </sheetView>
  </sheetViews>
  <sheetFormatPr baseColWidth="8" defaultColWidth="13" defaultRowHeight="12.75" zeroHeight="0" outlineLevelRow="0"/>
  <cols>
    <col width="4.18" customWidth="1" style="1015" min="1" max="2"/>
    <col width="8.18" customWidth="1" style="613" min="3" max="14"/>
    <col width="9.18" customWidth="1" style="613" min="15" max="17"/>
    <col width="13" customWidth="1" style="613" min="18" max="257"/>
  </cols>
  <sheetData>
    <row r="1" ht="21.75" customHeight="1" s="614">
      <c r="A1" s="1097" t="inlineStr">
        <is>
          <t xml:space="preserve">　加計浄化センター水質管理月報（１/２）</t>
        </is>
      </c>
      <c r="B1" s="1098" t="n"/>
      <c r="C1" s="758" t="n"/>
      <c r="D1" s="758" t="n"/>
      <c r="E1" s="758" t="n"/>
      <c r="F1" s="758" t="n"/>
      <c r="G1" s="758" t="n"/>
      <c r="H1" s="758" t="n"/>
      <c r="I1" s="758" t="n"/>
      <c r="J1" s="758" t="n"/>
      <c r="K1" s="758" t="n"/>
      <c r="L1" s="1015" t="n"/>
      <c r="O1" s="1099">
        <f>日常電気設備!K1</f>
        <v/>
      </c>
      <c r="R1" s="1100" t="n"/>
    </row>
    <row r="2" ht="15" customHeight="1" s="614">
      <c r="A2" s="1098" t="n"/>
      <c r="B2" s="1098" t="n"/>
      <c r="C2" s="758" t="n"/>
      <c r="D2" s="758" t="n"/>
      <c r="E2" s="758" t="n"/>
      <c r="F2" s="758" t="n"/>
      <c r="G2" s="758" t="n"/>
      <c r="H2" s="758" t="n"/>
      <c r="I2" s="758" t="n"/>
      <c r="J2" s="758" t="n"/>
      <c r="K2" s="758" t="n"/>
      <c r="L2" s="758" t="n"/>
      <c r="M2" s="758" t="n"/>
    </row>
    <row r="3" ht="13.5" customHeight="1" s="614">
      <c r="A3" s="1101" t="inlineStr">
        <is>
          <t>日付</t>
        </is>
      </c>
      <c r="B3" s="1102" t="inlineStr">
        <is>
          <t>曜日</t>
        </is>
      </c>
      <c r="C3" s="1103" t="inlineStr">
        <is>
          <t>水温</t>
        </is>
      </c>
      <c r="D3" s="1104" t="n"/>
      <c r="E3" s="1104" t="n"/>
      <c r="F3" s="1104" t="n"/>
      <c r="G3" s="1105" t="inlineStr">
        <is>
          <t>PH</t>
        </is>
      </c>
      <c r="H3" s="1104" t="n"/>
      <c r="I3" s="1104" t="n"/>
      <c r="J3" s="1106" t="n"/>
      <c r="K3" s="1107" t="inlineStr">
        <is>
          <t>透視度</t>
        </is>
      </c>
      <c r="L3" s="1104" t="n"/>
      <c r="M3" s="1106" t="n"/>
      <c r="N3" s="1108" t="inlineStr">
        <is>
          <t>MLDO</t>
        </is>
      </c>
      <c r="O3" s="1109" t="inlineStr">
        <is>
          <t>MLSS</t>
        </is>
      </c>
      <c r="P3" s="1110" t="inlineStr">
        <is>
          <t>SV30</t>
        </is>
      </c>
      <c r="Q3" s="1111" t="inlineStr">
        <is>
          <t>残留塩素</t>
        </is>
      </c>
    </row>
    <row r="4" ht="13.5" customHeight="1" s="614">
      <c r="A4" s="667" t="n"/>
      <c r="B4" s="647" t="n"/>
      <c r="C4" s="1112" t="inlineStr">
        <is>
          <t>（５回/週）</t>
        </is>
      </c>
      <c r="G4" s="1113" t="inlineStr">
        <is>
          <t>（５回/週）</t>
        </is>
      </c>
      <c r="J4" s="1114" t="n"/>
      <c r="K4" s="1113" t="inlineStr">
        <is>
          <t>（５回/週）</t>
        </is>
      </c>
      <c r="M4" s="1114" t="n"/>
      <c r="N4" s="1115" t="inlineStr">
        <is>
          <t>（５回/週）</t>
        </is>
      </c>
      <c r="O4" s="1116" t="inlineStr">
        <is>
          <t>（５回/週）</t>
        </is>
      </c>
      <c r="P4" s="1116" t="inlineStr">
        <is>
          <t>（５回/週）</t>
        </is>
      </c>
      <c r="Q4" s="1117" t="inlineStr">
        <is>
          <t>（５回/週）</t>
        </is>
      </c>
    </row>
    <row r="5" ht="13.5" customHeight="1" s="614">
      <c r="A5" s="667" t="n"/>
      <c r="B5" s="647" t="n"/>
      <c r="C5" s="1118" t="inlineStr">
        <is>
          <t>℃</t>
        </is>
      </c>
      <c r="D5" s="653" t="n"/>
      <c r="E5" s="653" t="n"/>
      <c r="F5" s="653" t="n"/>
      <c r="G5" s="1119" t="inlineStr">
        <is>
          <t>―</t>
        </is>
      </c>
      <c r="H5" s="653" t="n"/>
      <c r="I5" s="653" t="n"/>
      <c r="J5" s="1120" t="n"/>
      <c r="K5" s="1119" t="inlineStr">
        <is>
          <t>cm</t>
        </is>
      </c>
      <c r="L5" s="653" t="n"/>
      <c r="M5" s="1120" t="n"/>
      <c r="N5" s="1121" t="inlineStr">
        <is>
          <t>㎎/ℓ</t>
        </is>
      </c>
      <c r="O5" s="1122" t="inlineStr">
        <is>
          <t>㎎/ℓ</t>
        </is>
      </c>
      <c r="P5" s="1123" t="inlineStr">
        <is>
          <t>％</t>
        </is>
      </c>
      <c r="Q5" s="1124" t="inlineStr">
        <is>
          <t>㎎/ℓ</t>
        </is>
      </c>
    </row>
    <row r="6" ht="13.5" customHeight="1" s="614">
      <c r="A6" s="667" t="n"/>
      <c r="B6" s="647" t="n"/>
      <c r="C6" s="1125" t="inlineStr">
        <is>
          <t>流入</t>
        </is>
      </c>
      <c r="D6" s="1126" t="inlineStr">
        <is>
          <t>No．１</t>
        </is>
      </c>
      <c r="E6" s="1126" t="inlineStr">
        <is>
          <t>No．１</t>
        </is>
      </c>
      <c r="F6" s="1127" t="inlineStr">
        <is>
          <t>放流水</t>
        </is>
      </c>
      <c r="G6" s="1128" t="inlineStr">
        <is>
          <t>流入</t>
        </is>
      </c>
      <c r="H6" s="1126" t="inlineStr">
        <is>
          <t>No．１</t>
        </is>
      </c>
      <c r="I6" s="1126" t="inlineStr">
        <is>
          <t>No．１</t>
        </is>
      </c>
      <c r="J6" s="1129" t="inlineStr">
        <is>
          <t>放流水</t>
        </is>
      </c>
      <c r="K6" s="1128" t="inlineStr">
        <is>
          <t>流入</t>
        </is>
      </c>
      <c r="L6" s="1130" t="inlineStr">
        <is>
          <t>No.1　　　終沈</t>
        </is>
      </c>
      <c r="M6" s="1129" t="inlineStr">
        <is>
          <t>放流</t>
        </is>
      </c>
      <c r="N6" s="1131" t="inlineStr">
        <is>
          <t>No．１</t>
        </is>
      </c>
      <c r="O6" s="1132" t="inlineStr">
        <is>
          <t>No．１</t>
        </is>
      </c>
      <c r="P6" s="1133" t="inlineStr">
        <is>
          <t>No．１</t>
        </is>
      </c>
      <c r="Q6" s="1134" t="inlineStr">
        <is>
          <t>放流水</t>
        </is>
      </c>
    </row>
    <row r="7" ht="15" customHeight="1" s="614">
      <c r="A7" s="1135" t="n"/>
      <c r="B7" s="1136" t="n"/>
      <c r="C7" s="1030" t="n"/>
      <c r="D7" s="1137" t="inlineStr">
        <is>
          <t>ディッチ</t>
        </is>
      </c>
      <c r="E7" s="1137" t="inlineStr">
        <is>
          <t>終沈</t>
        </is>
      </c>
      <c r="F7" s="1138" t="n"/>
      <c r="G7" s="1139" t="n"/>
      <c r="H7" s="1137" t="inlineStr">
        <is>
          <t>ディッチ</t>
        </is>
      </c>
      <c r="I7" s="1137" t="inlineStr">
        <is>
          <t>終沈</t>
        </is>
      </c>
      <c r="J7" s="1140" t="n"/>
      <c r="K7" s="1139" t="n"/>
      <c r="L7" s="1030" t="n"/>
      <c r="M7" s="1140" t="n"/>
      <c r="N7" s="1141" t="inlineStr">
        <is>
          <t>ディッチ</t>
        </is>
      </c>
      <c r="O7" s="1142" t="inlineStr">
        <is>
          <t>ディッチ</t>
        </is>
      </c>
      <c r="P7" s="1143" t="inlineStr">
        <is>
          <t>ディッチ</t>
        </is>
      </c>
      <c r="Q7" s="1144" t="n"/>
    </row>
    <row r="8" ht="15" customHeight="1" s="614">
      <c r="A8" s="1145">
        <f>IFERROR(IF(AND(ISNUMBER(日常水質!$P$1),YEAR(日常水質!$P$1)&gt;=2000),DATE(YEAR(日常水質!$P$1),MONTH(日常水質!$P$1),1),NA()),IFERROR(IF(AND(ISNUMBER(日常水質!$I$95),YEAR(日常水質!$I$95)&gt;=2000),DATE(YEAR(日常水質!$I$95),MONTH(日常水質!$I$95),1),NA()),IFERROR(IF(AND(ISNUMBER(日常水質!$I$49),YEAR(日常水質!$I$49)&gt;=2000),DATE(YEAR(日常水質!$I$49),MONTH(日常水質!$I$49),1),NA()),IFERROR(IF(AND(ISNUMBER(日常水質!$I$141),YEAR(日常水質!$I$141)&gt;=2000),DATE(YEAR(日常水質!$I$141),MONTH(日常水質!$I$141),1),NA()),IFERROR(IF(AND(ISNUMBER(日常水質!$I$187),YEAR(日常水質!$I$187)&gt;=2000),DATE(YEAR(日常水質!$I$187),MONTH(日常水質!$I$187),1),NA()),IFERROR(IF(AND(ISNUMBER(日常水質!$I$3),YEAR(日常水質!$I$3)&gt;=2000),DATE(YEAR(日常水質!$I$3),MONTH(日常水質!$I$3),1),NA()),""))))))</f>
        <v/>
      </c>
      <c r="B8" s="1146">
        <f>IF(ISNUMBER(A8),A8,"")</f>
        <v/>
      </c>
      <c r="C8" s="1147">
        <f>IFERROR(IFERROR(IFERROR(IFERROR(IFERROR(INDEX(日常水質!$J$16:$N$16,MATCH($A8,日常水質!$J$14:$N$14,0)),INDEX(日常水質!$J$62:$N$62,MATCH($A8,日常水質!$J$60:$N$60,0))),INDEX(日常水質!$J$108:$N$108,MATCH($A8,日常水質!$J$106:$N$106,0))),INDEX(日常水質!$J$154:$N$154,MATCH($A8,日常水質!$J$152:$N$152,0))),INDEX(日常水質!$J$200:$N$200,MATCH($A8,日常水質!$J$198:$N$198,0))),"")</f>
        <v/>
      </c>
      <c r="D8" s="1148">
        <f>IFERROR(IFERROR(IFERROR(IFERROR(IFERROR(INDEX(日常水質!$J$17:$N$17,MATCH($A8,日常水質!$J$14:$N$14,0)),INDEX(日常水質!$J$63:$N$63,MATCH($A8,日常水質!$J$60:$N$60,0))),INDEX(日常水質!$J$109:$N$109,MATCH($A8,日常水質!$J$106:$N$106,0))),INDEX(日常水質!$J$155:$N$155,MATCH($A8,日常水質!$J$152:$N$152,0))),INDEX(日常水質!$J$201:$N$201,MATCH($A8,日常水質!$J$198:$N$198,0))),"")</f>
        <v/>
      </c>
      <c r="E8" s="677" t="n"/>
      <c r="F8" s="677">
        <f>IFERROR(IFERROR(IFERROR(IFERROR(IFERROR(INDEX(日常水質!$J$18:$N$18,MATCH($A8,日常水質!$J$14:$N$14,0)),INDEX(日常水質!$J$64:$N$64,MATCH($A8,日常水質!$J$60:$N$60,0))),INDEX(日常水質!$J$110:$N$110,MATCH($A8,日常水質!$J$106:$N$106,0))),INDEX(日常水質!$J$156:$N$156,MATCH($A8,日常水質!$J$152:$N$152,0))),INDEX(日常水質!$J$202:$N$202,MATCH($A8,日常水質!$J$198:$N$198,0))),"")</f>
        <v/>
      </c>
      <c r="G8" s="1149">
        <f>IFERROR(IFERROR(IFERROR(IFERROR(IFERROR(INDEX(日常水質!$J$27:$N$27,MATCH($A8,日常水質!$J$14:$N$14,0)),INDEX(日常水質!$J$73:$N$73,MATCH($A8,日常水質!$J$60:$N$60,0))),INDEX(日常水質!$J$119:$N$119,MATCH($A8,日常水質!$J$106:$N$106,0))),INDEX(日常水質!$J$165:$N$165,MATCH($A8,日常水質!$J$152:$N$152,0))),INDEX(日常水質!$J$211:$N$211,MATCH($A8,日常水質!$J$198:$N$198,0))),"")</f>
        <v/>
      </c>
      <c r="H8" s="710">
        <f>IFERROR(IFERROR(IFERROR(IFERROR(IFERROR(INDEX(日常水質!$J$28:$N$28,MATCH($A8,日常水質!$J$14:$N$14,0)),INDEX(日常水質!$J$74:$N$74,MATCH($A8,日常水質!$J$60:$N$60,0))),INDEX(日常水質!$J$120:$N$120,MATCH($A8,日常水質!$J$106:$N$106,0))),INDEX(日常水質!$J$166:$N$166,MATCH($A8,日常水質!$J$152:$N$152,0))),INDEX(日常水質!$J$212:$N$212,MATCH($A8,日常水質!$J$198:$N$198,0))),"")</f>
        <v/>
      </c>
      <c r="I8" s="710" t="n"/>
      <c r="J8" s="1150">
        <f>IFERROR(IFERROR(IFERROR(IFERROR(IFERROR(INDEX(日常水質!$J$29:$N$29,MATCH($A8,日常水質!$J$14:$N$14,0)),INDEX(日常水質!$J$75:$N$75,MATCH($A8,日常水質!$J$60:$N$60,0))),INDEX(日常水質!$J$121:$N$121,MATCH($A8,日常水質!$J$106:$N$106,0))),INDEX(日常水質!$J$167:$N$167,MATCH($A8,日常水質!$J$152:$N$152,0))),INDEX(日常水質!$J$213:$N$213,MATCH($A8,日常水質!$J$198:$N$198,0))),"")</f>
        <v/>
      </c>
      <c r="K8" s="1151">
        <f>IFERROR(IFERROR(IFERROR(IFERROR(IFERROR(INDEX(日常水質!$J$22:$N$22,MATCH($A8,日常水質!$J$14:$N$14,0)),INDEX(日常水質!$J$68:$N$68,MATCH($A8,日常水質!$J$60:$N$60,0))),INDEX(日常水質!$J$114:$N$114,MATCH($A8,日常水質!$J$106:$N$106,0))),INDEX(日常水質!$J$160:$N$160,MATCH($A8,日常水質!$J$152:$N$152,0))),INDEX(日常水質!$J$206:$N$206,MATCH($A8,日常水質!$J$198:$N$198,0))),"")</f>
        <v/>
      </c>
      <c r="L8" s="690" t="n"/>
      <c r="M8" s="1152">
        <f>IFERROR(IFERROR(IFERROR(IFERROR(IFERROR(INDEX(日常水質!$J$23:$N$23,MATCH($A8,日常水質!$J$14:$N$14,0)),INDEX(日常水質!$J$69:$N$69,MATCH($A8,日常水質!$J$60:$N$60,0))),INDEX(日常水質!$J$115:$N$115,MATCH($A8,日常水質!$J$106:$N$106,0))),INDEX(日常水質!$J$161:$N$161,MATCH($A8,日常水質!$J$152:$N$152,0))),INDEX(日常水質!$J$207:$N$207,MATCH($A8,日常水質!$J$198:$N$198,0))),"")</f>
        <v/>
      </c>
      <c r="N8" s="1153" t="n"/>
      <c r="O8" s="1154">
        <f>IFERROR(IFERROR(IFERROR(IFERROR(IFERROR(INDEX(日常水質!$J$34:$N$34,MATCH($A8,日常水質!$J$14:$N$14,0)),INDEX(日常水質!$J$80:$N$80,MATCH($A8,日常水質!$J$60:$N$60,0))),INDEX(日常水質!$J$126:$N$126,MATCH($A8,日常水質!$J$106:$N$106,0))),INDEX(日常水質!$J$172:$N$172,MATCH($A8,日常水質!$J$152:$N$152,0))),INDEX(日常水質!$J$218:$N$218,MATCH($A8,日常水質!$J$198:$N$198,0))),"")</f>
        <v/>
      </c>
      <c r="P8" s="1155">
        <f>IFERROR(IFERROR(IFERROR(IFERROR(IFERROR(INDEX(日常水質!$J$32:$N$32,MATCH($A8,日常水質!$J$14:$N$14,0)),INDEX(日常水質!$J$78:$N$78,MATCH($A8,日常水質!$J$60:$N$60,0))),INDEX(日常水質!$J$124:$N$124,MATCH($A8,日常水質!$J$106:$N$106,0))),INDEX(日常水質!$J$170:$N$170,MATCH($A8,日常水質!$J$152:$N$152,0))),INDEX(日常水質!$J$216:$N$216,MATCH($A8,日常水質!$J$198:$N$198,0))),"")</f>
        <v/>
      </c>
      <c r="Q8" s="1156">
        <f>IFERROR(IFERROR(IFERROR(IFERROR(IFERROR(INDEX(日常水質!$J$36:$N$36,MATCH($A8,日常水質!$J$14:$N$14,0)),INDEX(日常水質!$J$82:$N$82,MATCH($A8,日常水質!$J$60:$N$60,0))),INDEX(日常水質!$J$128:$N$128,MATCH($A8,日常水質!$J$106:$N$106,0))),INDEX(日常水質!$J$174:$N$174,MATCH($A8,日常水質!$J$152:$N$152,0))),INDEX(日常水質!$J$220:$N$220,MATCH($A8,日常水質!$J$198:$N$198,0))),"")</f>
        <v/>
      </c>
    </row>
    <row r="9" ht="13.5" customHeight="1" s="614">
      <c r="A9" s="1145">
        <f>IF(ISNUMBER(A8),IF(MONTH(A8+1)=MONTH($A$8),A8+1,""),"")</f>
        <v/>
      </c>
      <c r="B9" s="1146">
        <f>IF(ISNUMBER(A9),A9,"")</f>
        <v/>
      </c>
      <c r="C9" s="1157">
        <f>IFERROR(IFERROR(IFERROR(IFERROR(IFERROR(INDEX(日常水質!$J$16:$N$16,MATCH($A9,日常水質!$J$14:$N$14,0)),INDEX(日常水質!$J$62:$N$62,MATCH($A9,日常水質!$J$60:$N$60,0))),INDEX(日常水質!$J$108:$N$108,MATCH($A9,日常水質!$J$106:$N$106,0))),INDEX(日常水質!$J$154:$N$154,MATCH($A9,日常水質!$J$152:$N$152,0))),INDEX(日常水質!$J$200:$N$200,MATCH($A9,日常水質!$J$198:$N$198,0))),"")</f>
        <v/>
      </c>
      <c r="D9" s="663">
        <f>IFERROR(IFERROR(IFERROR(IFERROR(IFERROR(INDEX(日常水質!$J$17:$N$17,MATCH($A9,日常水質!$J$14:$N$14,0)),INDEX(日常水質!$J$63:$N$63,MATCH($A9,日常水質!$J$60:$N$60,0))),INDEX(日常水質!$J$109:$N$109,MATCH($A9,日常水質!$J$106:$N$106,0))),INDEX(日常水質!$J$155:$N$155,MATCH($A9,日常水質!$J$152:$N$152,0))),INDEX(日常水質!$J$201:$N$201,MATCH($A9,日常水質!$J$198:$N$198,0))),"")</f>
        <v/>
      </c>
      <c r="E9" s="663" t="n"/>
      <c r="F9" s="663">
        <f>IFERROR(IFERROR(IFERROR(IFERROR(IFERROR(INDEX(日常水質!$J$18:$N$18,MATCH($A9,日常水質!$J$14:$N$14,0)),INDEX(日常水質!$J$64:$N$64,MATCH($A9,日常水質!$J$60:$N$60,0))),INDEX(日常水質!$J$110:$N$110,MATCH($A9,日常水質!$J$106:$N$106,0))),INDEX(日常水質!$J$156:$N$156,MATCH($A9,日常水質!$J$152:$N$152,0))),INDEX(日常水質!$J$202:$N$202,MATCH($A9,日常水質!$J$198:$N$198,0))),"")</f>
        <v/>
      </c>
      <c r="G9" s="1158">
        <f>IFERROR(IFERROR(IFERROR(IFERROR(IFERROR(INDEX(日常水質!$J$27:$N$27,MATCH($A9,日常水質!$J$14:$N$14,0)),INDEX(日常水質!$J$73:$N$73,MATCH($A9,日常水質!$J$60:$N$60,0))),INDEX(日常水質!$J$119:$N$119,MATCH($A9,日常水質!$J$106:$N$106,0))),INDEX(日常水質!$J$165:$N$165,MATCH($A9,日常水質!$J$152:$N$152,0))),INDEX(日常水質!$J$211:$N$211,MATCH($A9,日常水質!$J$198:$N$198,0))),"")</f>
        <v/>
      </c>
      <c r="H9" s="1159">
        <f>IFERROR(IFERROR(IFERROR(IFERROR(IFERROR(INDEX(日常水質!$J$28:$N$28,MATCH($A9,日常水質!$J$14:$N$14,0)),INDEX(日常水質!$J$74:$N$74,MATCH($A9,日常水質!$J$60:$N$60,0))),INDEX(日常水質!$J$120:$N$120,MATCH($A9,日常水質!$J$106:$N$106,0))),INDEX(日常水質!$J$166:$N$166,MATCH($A9,日常水質!$J$152:$N$152,0))),INDEX(日常水質!$J$212:$N$212,MATCH($A9,日常水質!$J$198:$N$198,0))),"")</f>
        <v/>
      </c>
      <c r="I9" s="1159" t="n"/>
      <c r="J9" s="1160">
        <f>IFERROR(IFERROR(IFERROR(IFERROR(IFERROR(INDEX(日常水質!$J$29:$N$29,MATCH($A9,日常水質!$J$14:$N$14,0)),INDEX(日常水質!$J$75:$N$75,MATCH($A9,日常水質!$J$60:$N$60,0))),INDEX(日常水質!$J$121:$N$121,MATCH($A9,日常水質!$J$106:$N$106,0))),INDEX(日常水質!$J$167:$N$167,MATCH($A9,日常水質!$J$152:$N$152,0))),INDEX(日常水質!$J$213:$N$213,MATCH($A9,日常水質!$J$198:$N$198,0))),"")</f>
        <v/>
      </c>
      <c r="K9" s="1151">
        <f>IFERROR(IFERROR(IFERROR(IFERROR(IFERROR(INDEX(日常水質!$J$22:$N$22,MATCH($A9,日常水質!$J$14:$N$14,0)),INDEX(日常水質!$J$68:$N$68,MATCH($A9,日常水質!$J$60:$N$60,0))),INDEX(日常水質!$J$114:$N$114,MATCH($A9,日常水質!$J$106:$N$106,0))),INDEX(日常水質!$J$160:$N$160,MATCH($A9,日常水質!$J$152:$N$152,0))),INDEX(日常水質!$J$206:$N$206,MATCH($A9,日常水質!$J$198:$N$198,0))),"")</f>
        <v/>
      </c>
      <c r="L9" s="690" t="n"/>
      <c r="M9" s="1152">
        <f>IFERROR(IFERROR(IFERROR(IFERROR(IFERROR(INDEX(日常水質!$J$23:$N$23,MATCH($A9,日常水質!$J$14:$N$14,0)),INDEX(日常水質!$J$69:$N$69,MATCH($A9,日常水質!$J$60:$N$60,0))),INDEX(日常水質!$J$115:$N$115,MATCH($A9,日常水質!$J$106:$N$106,0))),INDEX(日常水質!$J$161:$N$161,MATCH($A9,日常水質!$J$152:$N$152,0))),INDEX(日常水質!$J$207:$N$207,MATCH($A9,日常水質!$J$198:$N$198,0))),"")</f>
        <v/>
      </c>
      <c r="N9" s="1084" t="n"/>
      <c r="O9" s="1161">
        <f>IFERROR(IFERROR(IFERROR(IFERROR(IFERROR(INDEX(日常水質!$J$34:$N$34,MATCH($A9,日常水質!$J$14:$N$14,0)),INDEX(日常水質!$J$80:$N$80,MATCH($A9,日常水質!$J$60:$N$60,0))),INDEX(日常水質!$J$126:$N$126,MATCH($A9,日常水質!$J$106:$N$106,0))),INDEX(日常水質!$J$172:$N$172,MATCH($A9,日常水質!$J$152:$N$152,0))),INDEX(日常水質!$J$218:$N$218,MATCH($A9,日常水質!$J$198:$N$198,0))),"")</f>
        <v/>
      </c>
      <c r="P9" s="1161">
        <f>IFERROR(IFERROR(IFERROR(IFERROR(IFERROR(INDEX(日常水質!$J$32:$N$32,MATCH($A9,日常水質!$J$14:$N$14,0)),INDEX(日常水質!$J$78:$N$78,MATCH($A9,日常水質!$J$60:$N$60,0))),INDEX(日常水質!$J$124:$N$124,MATCH($A9,日常水質!$J$106:$N$106,0))),INDEX(日常水質!$J$170:$N$170,MATCH($A9,日常水質!$J$152:$N$152,0))),INDEX(日常水質!$J$216:$N$216,MATCH($A9,日常水質!$J$198:$N$198,0))),"")</f>
        <v/>
      </c>
      <c r="Q9" s="1162">
        <f>IFERROR(IFERROR(IFERROR(IFERROR(IFERROR(INDEX(日常水質!$J$36:$N$36,MATCH($A9,日常水質!$J$14:$N$14,0)),INDEX(日常水質!$J$82:$N$82,MATCH($A9,日常水質!$J$60:$N$60,0))),INDEX(日常水質!$J$128:$N$128,MATCH($A9,日常水質!$J$106:$N$106,0))),INDEX(日常水質!$J$174:$N$174,MATCH($A9,日常水質!$J$152:$N$152,0))),INDEX(日常水質!$J$220:$N$220,MATCH($A9,日常水質!$J$198:$N$198,0))),"")</f>
        <v/>
      </c>
    </row>
    <row r="10" ht="13.5" customHeight="1" s="614">
      <c r="A10" s="1145">
        <f>IF(ISNUMBER(A9),IF(MONTH(A9+1)=MONTH($A$8),A9+1,""),"")</f>
        <v/>
      </c>
      <c r="B10" s="1146">
        <f>IF(ISNUMBER(A10),A10,"")</f>
        <v/>
      </c>
      <c r="C10" s="1157">
        <f>IFERROR(IFERROR(IFERROR(IFERROR(IFERROR(INDEX(日常水質!$J$16:$N$16,MATCH($A10,日常水質!$J$14:$N$14,0)),INDEX(日常水質!$J$62:$N$62,MATCH($A10,日常水質!$J$60:$N$60,0))),INDEX(日常水質!$J$108:$N$108,MATCH($A10,日常水質!$J$106:$N$106,0))),INDEX(日常水質!$J$154:$N$154,MATCH($A10,日常水質!$J$152:$N$152,0))),INDEX(日常水質!$J$200:$N$200,MATCH($A10,日常水質!$J$198:$N$198,0))),"")</f>
        <v/>
      </c>
      <c r="D10" s="1163">
        <f>IFERROR(IFERROR(IFERROR(IFERROR(IFERROR(INDEX(日常水質!$J$17:$N$17,MATCH($A10,日常水質!$J$14:$N$14,0)),INDEX(日常水質!$J$63:$N$63,MATCH($A10,日常水質!$J$60:$N$60,0))),INDEX(日常水質!$J$109:$N$109,MATCH($A10,日常水質!$J$106:$N$106,0))),INDEX(日常水質!$J$155:$N$155,MATCH($A10,日常水質!$J$152:$N$152,0))),INDEX(日常水質!$J$201:$N$201,MATCH($A10,日常水質!$J$198:$N$198,0))),"")</f>
        <v/>
      </c>
      <c r="E10" s="1163" t="n"/>
      <c r="F10" s="1163">
        <f>IFERROR(IFERROR(IFERROR(IFERROR(IFERROR(INDEX(日常水質!$J$18:$N$18,MATCH($A10,日常水質!$J$14:$N$14,0)),INDEX(日常水質!$J$64:$N$64,MATCH($A10,日常水質!$J$60:$N$60,0))),INDEX(日常水質!$J$110:$N$110,MATCH($A10,日常水質!$J$106:$N$106,0))),INDEX(日常水質!$J$156:$N$156,MATCH($A10,日常水質!$J$152:$N$152,0))),INDEX(日常水質!$J$202:$N$202,MATCH($A10,日常水質!$J$198:$N$198,0))),"")</f>
        <v/>
      </c>
      <c r="G10" s="1158">
        <f>IFERROR(IFERROR(IFERROR(IFERROR(IFERROR(INDEX(日常水質!$J$27:$N$27,MATCH($A10,日常水質!$J$14:$N$14,0)),INDEX(日常水質!$J$73:$N$73,MATCH($A10,日常水質!$J$60:$N$60,0))),INDEX(日常水質!$J$119:$N$119,MATCH($A10,日常水質!$J$106:$N$106,0))),INDEX(日常水質!$J$165:$N$165,MATCH($A10,日常水質!$J$152:$N$152,0))),INDEX(日常水質!$J$211:$N$211,MATCH($A10,日常水質!$J$198:$N$198,0))),"")</f>
        <v/>
      </c>
      <c r="H10" s="1159">
        <f>IFERROR(IFERROR(IFERROR(IFERROR(IFERROR(INDEX(日常水質!$J$28:$N$28,MATCH($A10,日常水質!$J$14:$N$14,0)),INDEX(日常水質!$J$74:$N$74,MATCH($A10,日常水質!$J$60:$N$60,0))),INDEX(日常水質!$J$120:$N$120,MATCH($A10,日常水質!$J$106:$N$106,0))),INDEX(日常水質!$J$166:$N$166,MATCH($A10,日常水質!$J$152:$N$152,0))),INDEX(日常水質!$J$212:$N$212,MATCH($A10,日常水質!$J$198:$N$198,0))),"")</f>
        <v/>
      </c>
      <c r="I10" s="1159" t="n"/>
      <c r="J10" s="1160">
        <f>IFERROR(IFERROR(IFERROR(IFERROR(IFERROR(INDEX(日常水質!$J$29:$N$29,MATCH($A10,日常水質!$J$14:$N$14,0)),INDEX(日常水質!$J$75:$N$75,MATCH($A10,日常水質!$J$60:$N$60,0))),INDEX(日常水質!$J$121:$N$121,MATCH($A10,日常水質!$J$106:$N$106,0))),INDEX(日常水質!$J$167:$N$167,MATCH($A10,日常水質!$J$152:$N$152,0))),INDEX(日常水質!$J$213:$N$213,MATCH($A10,日常水質!$J$198:$N$198,0))),"")</f>
        <v/>
      </c>
      <c r="K10" s="1164">
        <f>IFERROR(IFERROR(IFERROR(IFERROR(IFERROR(INDEX(日常水質!$J$22:$N$22,MATCH($A10,日常水質!$J$14:$N$14,0)),INDEX(日常水質!$J$68:$N$68,MATCH($A10,日常水質!$J$60:$N$60,0))),INDEX(日常水質!$J$114:$N$114,MATCH($A10,日常水質!$J$106:$N$106,0))),INDEX(日常水質!$J$160:$N$160,MATCH($A10,日常水質!$J$152:$N$152,0))),INDEX(日常水質!$J$206:$N$206,MATCH($A10,日常水質!$J$198:$N$198,0))),"")</f>
        <v/>
      </c>
      <c r="L10" s="690" t="n"/>
      <c r="M10" s="1152">
        <f>IFERROR(IFERROR(IFERROR(IFERROR(IFERROR(INDEX(日常水質!$J$23:$N$23,MATCH($A10,日常水質!$J$14:$N$14,0)),INDEX(日常水質!$J$69:$N$69,MATCH($A10,日常水質!$J$60:$N$60,0))),INDEX(日常水質!$J$115:$N$115,MATCH($A10,日常水質!$J$106:$N$106,0))),INDEX(日常水質!$J$161:$N$161,MATCH($A10,日常水質!$J$152:$N$152,0))),INDEX(日常水質!$J$207:$N$207,MATCH($A10,日常水質!$J$198:$N$198,0))),"")</f>
        <v/>
      </c>
      <c r="N10" s="1084" t="n"/>
      <c r="O10" s="1161">
        <f>IFERROR(IFERROR(IFERROR(IFERROR(IFERROR(INDEX(日常水質!$J$34:$N$34,MATCH($A10,日常水質!$J$14:$N$14,0)),INDEX(日常水質!$J$80:$N$80,MATCH($A10,日常水質!$J$60:$N$60,0))),INDEX(日常水質!$J$126:$N$126,MATCH($A10,日常水質!$J$106:$N$106,0))),INDEX(日常水質!$J$172:$N$172,MATCH($A10,日常水質!$J$152:$N$152,0))),INDEX(日常水質!$J$218:$N$218,MATCH($A10,日常水質!$J$198:$N$198,0))),"")</f>
        <v/>
      </c>
      <c r="P10" s="1161">
        <f>IFERROR(IFERROR(IFERROR(IFERROR(IFERROR(INDEX(日常水質!$J$32:$N$32,MATCH($A10,日常水質!$J$14:$N$14,0)),INDEX(日常水質!$J$78:$N$78,MATCH($A10,日常水質!$J$60:$N$60,0))),INDEX(日常水質!$J$124:$N$124,MATCH($A10,日常水質!$J$106:$N$106,0))),INDEX(日常水質!$J$170:$N$170,MATCH($A10,日常水質!$J$152:$N$152,0))),INDEX(日常水質!$J$216:$N$216,MATCH($A10,日常水質!$J$198:$N$198,0))),"")</f>
        <v/>
      </c>
      <c r="Q10" s="1162">
        <f>IFERROR(IFERROR(IFERROR(IFERROR(IFERROR(INDEX(日常水質!$J$36:$N$36,MATCH($A10,日常水質!$J$14:$N$14,0)),INDEX(日常水質!$J$82:$N$82,MATCH($A10,日常水質!$J$60:$N$60,0))),INDEX(日常水質!$J$128:$N$128,MATCH($A10,日常水質!$J$106:$N$106,0))),INDEX(日常水質!$J$174:$N$174,MATCH($A10,日常水質!$J$152:$N$152,0))),INDEX(日常水質!$J$220:$N$220,MATCH($A10,日常水質!$J$198:$N$198,0))),"")</f>
        <v/>
      </c>
    </row>
    <row r="11" ht="13.5" customHeight="1" s="614">
      <c r="A11" s="1145">
        <f>IF(ISNUMBER(A10),IF(MONTH(A10+1)=MONTH($A$8),A10+1,""),"")</f>
        <v/>
      </c>
      <c r="B11" s="1146">
        <f>IF(ISNUMBER(A11),A11,"")</f>
        <v/>
      </c>
      <c r="C11" s="1157">
        <f>IFERROR(IFERROR(IFERROR(IFERROR(IFERROR(INDEX(日常水質!$J$16:$N$16,MATCH($A11,日常水質!$J$14:$N$14,0)),INDEX(日常水質!$J$62:$N$62,MATCH($A11,日常水質!$J$60:$N$60,0))),INDEX(日常水質!$J$108:$N$108,MATCH($A11,日常水質!$J$106:$N$106,0))),INDEX(日常水質!$J$154:$N$154,MATCH($A11,日常水質!$J$152:$N$152,0))),INDEX(日常水質!$J$200:$N$200,MATCH($A11,日常水質!$J$198:$N$198,0))),"")</f>
        <v/>
      </c>
      <c r="D11" s="1163">
        <f>IFERROR(IFERROR(IFERROR(IFERROR(IFERROR(INDEX(日常水質!$J$17:$N$17,MATCH($A11,日常水質!$J$14:$N$14,0)),INDEX(日常水質!$J$63:$N$63,MATCH($A11,日常水質!$J$60:$N$60,0))),INDEX(日常水質!$J$109:$N$109,MATCH($A11,日常水質!$J$106:$N$106,0))),INDEX(日常水質!$J$155:$N$155,MATCH($A11,日常水質!$J$152:$N$152,0))),INDEX(日常水質!$J$201:$N$201,MATCH($A11,日常水質!$J$198:$N$198,0))),"")</f>
        <v/>
      </c>
      <c r="E11" s="1163" t="n"/>
      <c r="F11" s="1163">
        <f>IFERROR(IFERROR(IFERROR(IFERROR(IFERROR(INDEX(日常水質!$J$18:$N$18,MATCH($A11,日常水質!$J$14:$N$14,0)),INDEX(日常水質!$J$64:$N$64,MATCH($A11,日常水質!$J$60:$N$60,0))),INDEX(日常水質!$J$110:$N$110,MATCH($A11,日常水質!$J$106:$N$106,0))),INDEX(日常水質!$J$156:$N$156,MATCH($A11,日常水質!$J$152:$N$152,0))),INDEX(日常水質!$J$202:$N$202,MATCH($A11,日常水質!$J$198:$N$198,0))),"")</f>
        <v/>
      </c>
      <c r="G11" s="1158">
        <f>IFERROR(IFERROR(IFERROR(IFERROR(IFERROR(INDEX(日常水質!$J$27:$N$27,MATCH($A11,日常水質!$J$14:$N$14,0)),INDEX(日常水質!$J$73:$N$73,MATCH($A11,日常水質!$J$60:$N$60,0))),INDEX(日常水質!$J$119:$N$119,MATCH($A11,日常水質!$J$106:$N$106,0))),INDEX(日常水質!$J$165:$N$165,MATCH($A11,日常水質!$J$152:$N$152,0))),INDEX(日常水質!$J$211:$N$211,MATCH($A11,日常水質!$J$198:$N$198,0))),"")</f>
        <v/>
      </c>
      <c r="H11" s="1159">
        <f>IFERROR(IFERROR(IFERROR(IFERROR(IFERROR(INDEX(日常水質!$J$28:$N$28,MATCH($A11,日常水質!$J$14:$N$14,0)),INDEX(日常水質!$J$74:$N$74,MATCH($A11,日常水質!$J$60:$N$60,0))),INDEX(日常水質!$J$120:$N$120,MATCH($A11,日常水質!$J$106:$N$106,0))),INDEX(日常水質!$J$166:$N$166,MATCH($A11,日常水質!$J$152:$N$152,0))),INDEX(日常水質!$J$212:$N$212,MATCH($A11,日常水質!$J$198:$N$198,0))),"")</f>
        <v/>
      </c>
      <c r="I11" s="1159" t="n"/>
      <c r="J11" s="1165">
        <f>IFERROR(IFERROR(IFERROR(IFERROR(IFERROR(INDEX(日常水質!$J$29:$N$29,MATCH($A11,日常水質!$J$14:$N$14,0)),INDEX(日常水質!$J$75:$N$75,MATCH($A11,日常水質!$J$60:$N$60,0))),INDEX(日常水質!$J$121:$N$121,MATCH($A11,日常水質!$J$106:$N$106,0))),INDEX(日常水質!$J$167:$N$167,MATCH($A11,日常水質!$J$152:$N$152,0))),INDEX(日常水質!$J$213:$N$213,MATCH($A11,日常水質!$J$198:$N$198,0))),"")</f>
        <v/>
      </c>
      <c r="K11" s="1166">
        <f>IFERROR(IFERROR(IFERROR(IFERROR(IFERROR(INDEX(日常水質!$J$22:$N$22,MATCH($A11,日常水質!$J$14:$N$14,0)),INDEX(日常水質!$J$68:$N$68,MATCH($A11,日常水質!$J$60:$N$60,0))),INDEX(日常水質!$J$114:$N$114,MATCH($A11,日常水質!$J$106:$N$106,0))),INDEX(日常水質!$J$160:$N$160,MATCH($A11,日常水質!$J$152:$N$152,0))),INDEX(日常水質!$J$206:$N$206,MATCH($A11,日常水質!$J$198:$N$198,0))),"")</f>
        <v/>
      </c>
      <c r="L11" s="690" t="n"/>
      <c r="M11" s="1152">
        <f>IFERROR(IFERROR(IFERROR(IFERROR(IFERROR(INDEX(日常水質!$J$23:$N$23,MATCH($A11,日常水質!$J$14:$N$14,0)),INDEX(日常水質!$J$69:$N$69,MATCH($A11,日常水質!$J$60:$N$60,0))),INDEX(日常水質!$J$115:$N$115,MATCH($A11,日常水質!$J$106:$N$106,0))),INDEX(日常水質!$J$161:$N$161,MATCH($A11,日常水質!$J$152:$N$152,0))),INDEX(日常水質!$J$207:$N$207,MATCH($A11,日常水質!$J$198:$N$198,0))),"")</f>
        <v/>
      </c>
      <c r="N11" s="1084" t="n"/>
      <c r="O11" s="1161">
        <f>IFERROR(IFERROR(IFERROR(IFERROR(IFERROR(INDEX(日常水質!$J$34:$N$34,MATCH($A11,日常水質!$J$14:$N$14,0)),INDEX(日常水質!$J$80:$N$80,MATCH($A11,日常水質!$J$60:$N$60,0))),INDEX(日常水質!$J$126:$N$126,MATCH($A11,日常水質!$J$106:$N$106,0))),INDEX(日常水質!$J$172:$N$172,MATCH($A11,日常水質!$J$152:$N$152,0))),INDEX(日常水質!$J$218:$N$218,MATCH($A11,日常水質!$J$198:$N$198,0))),"")</f>
        <v/>
      </c>
      <c r="P11" s="1161">
        <f>IFERROR(IFERROR(IFERROR(IFERROR(IFERROR(INDEX(日常水質!$J$32:$N$32,MATCH($A11,日常水質!$J$14:$N$14,0)),INDEX(日常水質!$J$78:$N$78,MATCH($A11,日常水質!$J$60:$N$60,0))),INDEX(日常水質!$J$124:$N$124,MATCH($A11,日常水質!$J$106:$N$106,0))),INDEX(日常水質!$J$170:$N$170,MATCH($A11,日常水質!$J$152:$N$152,0))),INDEX(日常水質!$J$216:$N$216,MATCH($A11,日常水質!$J$198:$N$198,0))),"")</f>
        <v/>
      </c>
      <c r="Q11" s="1162">
        <f>IFERROR(IFERROR(IFERROR(IFERROR(IFERROR(INDEX(日常水質!$J$36:$N$36,MATCH($A11,日常水質!$J$14:$N$14,0)),INDEX(日常水質!$J$82:$N$82,MATCH($A11,日常水質!$J$60:$N$60,0))),INDEX(日常水質!$J$128:$N$128,MATCH($A11,日常水質!$J$106:$N$106,0))),INDEX(日常水質!$J$174:$N$174,MATCH($A11,日常水質!$J$152:$N$152,0))),INDEX(日常水質!$J$220:$N$220,MATCH($A11,日常水質!$J$198:$N$198,0))),"")</f>
        <v/>
      </c>
    </row>
    <row r="12" ht="13.5" customHeight="1" s="614">
      <c r="A12" s="1145">
        <f>IF(ISNUMBER(A11),IF(MONTH(A11+1)=MONTH($A$8),A11+1,""),"")</f>
        <v/>
      </c>
      <c r="B12" s="1146">
        <f>IF(ISNUMBER(A12),A12,"")</f>
        <v/>
      </c>
      <c r="C12" s="1157">
        <f>IFERROR(IFERROR(IFERROR(IFERROR(IFERROR(INDEX(日常水質!$J$16:$N$16,MATCH($A12,日常水質!$J$14:$N$14,0)),INDEX(日常水質!$J$62:$N$62,MATCH($A12,日常水質!$J$60:$N$60,0))),INDEX(日常水質!$J$108:$N$108,MATCH($A12,日常水質!$J$106:$N$106,0))),INDEX(日常水質!$J$154:$N$154,MATCH($A12,日常水質!$J$152:$N$152,0))),INDEX(日常水質!$J$200:$N$200,MATCH($A12,日常水質!$J$198:$N$198,0))),"")</f>
        <v/>
      </c>
      <c r="D12" s="1163">
        <f>IFERROR(IFERROR(IFERROR(IFERROR(IFERROR(INDEX(日常水質!$J$17:$N$17,MATCH($A12,日常水質!$J$14:$N$14,0)),INDEX(日常水質!$J$63:$N$63,MATCH($A12,日常水質!$J$60:$N$60,0))),INDEX(日常水質!$J$109:$N$109,MATCH($A12,日常水質!$J$106:$N$106,0))),INDEX(日常水質!$J$155:$N$155,MATCH($A12,日常水質!$J$152:$N$152,0))),INDEX(日常水質!$J$201:$N$201,MATCH($A12,日常水質!$J$198:$N$198,0))),"")</f>
        <v/>
      </c>
      <c r="E12" s="1163" t="n"/>
      <c r="F12" s="1167">
        <f>IFERROR(IFERROR(IFERROR(IFERROR(IFERROR(INDEX(日常水質!$J$18:$N$18,MATCH($A12,日常水質!$J$14:$N$14,0)),INDEX(日常水質!$J$64:$N$64,MATCH($A12,日常水質!$J$60:$N$60,0))),INDEX(日常水質!$J$110:$N$110,MATCH($A12,日常水質!$J$106:$N$106,0))),INDEX(日常水質!$J$156:$N$156,MATCH($A12,日常水質!$J$152:$N$152,0))),INDEX(日常水質!$J$202:$N$202,MATCH($A12,日常水質!$J$198:$N$198,0))),"")</f>
        <v/>
      </c>
      <c r="G12" s="1158">
        <f>IFERROR(IFERROR(IFERROR(IFERROR(IFERROR(INDEX(日常水質!$J$27:$N$27,MATCH($A12,日常水質!$J$14:$N$14,0)),INDEX(日常水質!$J$73:$N$73,MATCH($A12,日常水質!$J$60:$N$60,0))),INDEX(日常水質!$J$119:$N$119,MATCH($A12,日常水質!$J$106:$N$106,0))),INDEX(日常水質!$J$165:$N$165,MATCH($A12,日常水質!$J$152:$N$152,0))),INDEX(日常水質!$J$211:$N$211,MATCH($A12,日常水質!$J$198:$N$198,0))),"")</f>
        <v/>
      </c>
      <c r="H12" s="1159">
        <f>IFERROR(IFERROR(IFERROR(IFERROR(IFERROR(INDEX(日常水質!$J$28:$N$28,MATCH($A12,日常水質!$J$14:$N$14,0)),INDEX(日常水質!$J$74:$N$74,MATCH($A12,日常水質!$J$60:$N$60,0))),INDEX(日常水質!$J$120:$N$120,MATCH($A12,日常水質!$J$106:$N$106,0))),INDEX(日常水質!$J$166:$N$166,MATCH($A12,日常水質!$J$152:$N$152,0))),INDEX(日常水質!$J$212:$N$212,MATCH($A12,日常水質!$J$198:$N$198,0))),"")</f>
        <v/>
      </c>
      <c r="I12" s="1159" t="n"/>
      <c r="J12" s="1165">
        <f>IFERROR(IFERROR(IFERROR(IFERROR(IFERROR(INDEX(日常水質!$J$29:$N$29,MATCH($A12,日常水質!$J$14:$N$14,0)),INDEX(日常水質!$J$75:$N$75,MATCH($A12,日常水質!$J$60:$N$60,0))),INDEX(日常水質!$J$121:$N$121,MATCH($A12,日常水質!$J$106:$N$106,0))),INDEX(日常水質!$J$167:$N$167,MATCH($A12,日常水質!$J$152:$N$152,0))),INDEX(日常水質!$J$213:$N$213,MATCH($A12,日常水質!$J$198:$N$198,0))),"")</f>
        <v/>
      </c>
      <c r="K12" s="1151">
        <f>IFERROR(IFERROR(IFERROR(IFERROR(IFERROR(INDEX(日常水質!$J$22:$N$22,MATCH($A12,日常水質!$J$14:$N$14,0)),INDEX(日常水質!$J$68:$N$68,MATCH($A12,日常水質!$J$60:$N$60,0))),INDEX(日常水質!$J$114:$N$114,MATCH($A12,日常水質!$J$106:$N$106,0))),INDEX(日常水質!$J$160:$N$160,MATCH($A12,日常水質!$J$152:$N$152,0))),INDEX(日常水質!$J$206:$N$206,MATCH($A12,日常水質!$J$198:$N$198,0))),"")</f>
        <v/>
      </c>
      <c r="L12" s="690" t="n"/>
      <c r="M12" s="1152">
        <f>IFERROR(IFERROR(IFERROR(IFERROR(IFERROR(INDEX(日常水質!$J$23:$N$23,MATCH($A12,日常水質!$J$14:$N$14,0)),INDEX(日常水質!$J$69:$N$69,MATCH($A12,日常水質!$J$60:$N$60,0))),INDEX(日常水質!$J$115:$N$115,MATCH($A12,日常水質!$J$106:$N$106,0))),INDEX(日常水質!$J$161:$N$161,MATCH($A12,日常水質!$J$152:$N$152,0))),INDEX(日常水質!$J$207:$N$207,MATCH($A12,日常水質!$J$198:$N$198,0))),"")</f>
        <v/>
      </c>
      <c r="N12" s="1084" t="n"/>
      <c r="O12" s="1161">
        <f>IFERROR(IFERROR(IFERROR(IFERROR(IFERROR(INDEX(日常水質!$J$34:$N$34,MATCH($A12,日常水質!$J$14:$N$14,0)),INDEX(日常水質!$J$80:$N$80,MATCH($A12,日常水質!$J$60:$N$60,0))),INDEX(日常水質!$J$126:$N$126,MATCH($A12,日常水質!$J$106:$N$106,0))),INDEX(日常水質!$J$172:$N$172,MATCH($A12,日常水質!$J$152:$N$152,0))),INDEX(日常水質!$J$218:$N$218,MATCH($A12,日常水質!$J$198:$N$198,0))),"")</f>
        <v/>
      </c>
      <c r="P12" s="1161">
        <f>IFERROR(IFERROR(IFERROR(IFERROR(IFERROR(INDEX(日常水質!$J$32:$N$32,MATCH($A12,日常水質!$J$14:$N$14,0)),INDEX(日常水質!$J$78:$N$78,MATCH($A12,日常水質!$J$60:$N$60,0))),INDEX(日常水質!$J$124:$N$124,MATCH($A12,日常水質!$J$106:$N$106,0))),INDEX(日常水質!$J$170:$N$170,MATCH($A12,日常水質!$J$152:$N$152,0))),INDEX(日常水質!$J$216:$N$216,MATCH($A12,日常水質!$J$198:$N$198,0))),"")</f>
        <v/>
      </c>
      <c r="Q12" s="1162">
        <f>IFERROR(IFERROR(IFERROR(IFERROR(IFERROR(INDEX(日常水質!$J$36:$N$36,MATCH($A12,日常水質!$J$14:$N$14,0)),INDEX(日常水質!$J$82:$N$82,MATCH($A12,日常水質!$J$60:$N$60,0))),INDEX(日常水質!$J$128:$N$128,MATCH($A12,日常水質!$J$106:$N$106,0))),INDEX(日常水質!$J$174:$N$174,MATCH($A12,日常水質!$J$152:$N$152,0))),INDEX(日常水質!$J$220:$N$220,MATCH($A12,日常水質!$J$198:$N$198,0))),"")</f>
        <v/>
      </c>
    </row>
    <row r="13" ht="13.5" customHeight="1" s="614">
      <c r="A13" s="1145">
        <f>IF(ISNUMBER(A12),IF(MONTH(A12+1)=MONTH($A$8),A12+1,""),"")</f>
        <v/>
      </c>
      <c r="B13" s="1146">
        <f>IF(ISNUMBER(A13),A13,"")</f>
        <v/>
      </c>
      <c r="C13" s="1157">
        <f>IFERROR(IFERROR(IFERROR(IFERROR(IFERROR(INDEX(日常水質!$J$16:$N$16,MATCH($A13,日常水質!$J$14:$N$14,0)),INDEX(日常水質!$J$62:$N$62,MATCH($A13,日常水質!$J$60:$N$60,0))),INDEX(日常水質!$J$108:$N$108,MATCH($A13,日常水質!$J$106:$N$106,0))),INDEX(日常水質!$J$154:$N$154,MATCH($A13,日常水質!$J$152:$N$152,0))),INDEX(日常水質!$J$200:$N$200,MATCH($A13,日常水質!$J$198:$N$198,0))),"")</f>
        <v/>
      </c>
      <c r="D13" s="1163">
        <f>IFERROR(IFERROR(IFERROR(IFERROR(IFERROR(INDEX(日常水質!$J$17:$N$17,MATCH($A13,日常水質!$J$14:$N$14,0)),INDEX(日常水質!$J$63:$N$63,MATCH($A13,日常水質!$J$60:$N$60,0))),INDEX(日常水質!$J$109:$N$109,MATCH($A13,日常水質!$J$106:$N$106,0))),INDEX(日常水質!$J$155:$N$155,MATCH($A13,日常水質!$J$152:$N$152,0))),INDEX(日常水質!$J$201:$N$201,MATCH($A13,日常水質!$J$198:$N$198,0))),"")</f>
        <v/>
      </c>
      <c r="E13" s="1163" t="n"/>
      <c r="F13" s="1167">
        <f>IFERROR(IFERROR(IFERROR(IFERROR(IFERROR(INDEX(日常水質!$J$18:$N$18,MATCH($A13,日常水質!$J$14:$N$14,0)),INDEX(日常水質!$J$64:$N$64,MATCH($A13,日常水質!$J$60:$N$60,0))),INDEX(日常水質!$J$110:$N$110,MATCH($A13,日常水質!$J$106:$N$106,0))),INDEX(日常水質!$J$156:$N$156,MATCH($A13,日常水質!$J$152:$N$152,0))),INDEX(日常水質!$J$202:$N$202,MATCH($A13,日常水質!$J$198:$N$198,0))),"")</f>
        <v/>
      </c>
      <c r="G13" s="1158">
        <f>IFERROR(IFERROR(IFERROR(IFERROR(IFERROR(INDEX(日常水質!$J$27:$N$27,MATCH($A13,日常水質!$J$14:$N$14,0)),INDEX(日常水質!$J$73:$N$73,MATCH($A13,日常水質!$J$60:$N$60,0))),INDEX(日常水質!$J$119:$N$119,MATCH($A13,日常水質!$J$106:$N$106,0))),INDEX(日常水質!$J$165:$N$165,MATCH($A13,日常水質!$J$152:$N$152,0))),INDEX(日常水質!$J$211:$N$211,MATCH($A13,日常水質!$J$198:$N$198,0))),"")</f>
        <v/>
      </c>
      <c r="H13" s="1159">
        <f>IFERROR(IFERROR(IFERROR(IFERROR(IFERROR(INDEX(日常水質!$J$28:$N$28,MATCH($A13,日常水質!$J$14:$N$14,0)),INDEX(日常水質!$J$74:$N$74,MATCH($A13,日常水質!$J$60:$N$60,0))),INDEX(日常水質!$J$120:$N$120,MATCH($A13,日常水質!$J$106:$N$106,0))),INDEX(日常水質!$J$166:$N$166,MATCH($A13,日常水質!$J$152:$N$152,0))),INDEX(日常水質!$J$212:$N$212,MATCH($A13,日常水質!$J$198:$N$198,0))),"")</f>
        <v/>
      </c>
      <c r="I13" s="1159" t="n"/>
      <c r="J13" s="1165">
        <f>IFERROR(IFERROR(IFERROR(IFERROR(IFERROR(INDEX(日常水質!$J$29:$N$29,MATCH($A13,日常水質!$J$14:$N$14,0)),INDEX(日常水質!$J$75:$N$75,MATCH($A13,日常水質!$J$60:$N$60,0))),INDEX(日常水質!$J$121:$N$121,MATCH($A13,日常水質!$J$106:$N$106,0))),INDEX(日常水質!$J$167:$N$167,MATCH($A13,日常水質!$J$152:$N$152,0))),INDEX(日常水質!$J$213:$N$213,MATCH($A13,日常水質!$J$198:$N$198,0))),"")</f>
        <v/>
      </c>
      <c r="K13" s="1168">
        <f>IFERROR(IFERROR(IFERROR(IFERROR(IFERROR(INDEX(日常水質!$J$22:$N$22,MATCH($A13,日常水質!$J$14:$N$14,0)),INDEX(日常水質!$J$68:$N$68,MATCH($A13,日常水質!$J$60:$N$60,0))),INDEX(日常水質!$J$114:$N$114,MATCH($A13,日常水質!$J$106:$N$106,0))),INDEX(日常水質!$J$160:$N$160,MATCH($A13,日常水質!$J$152:$N$152,0))),INDEX(日常水質!$J$206:$N$206,MATCH($A13,日常水質!$J$198:$N$198,0))),"")</f>
        <v/>
      </c>
      <c r="L13" s="690" t="n"/>
      <c r="M13" s="1152">
        <f>IFERROR(IFERROR(IFERROR(IFERROR(IFERROR(INDEX(日常水質!$J$23:$N$23,MATCH($A13,日常水質!$J$14:$N$14,0)),INDEX(日常水質!$J$69:$N$69,MATCH($A13,日常水質!$J$60:$N$60,0))),INDEX(日常水質!$J$115:$N$115,MATCH($A13,日常水質!$J$106:$N$106,0))),INDEX(日常水質!$J$161:$N$161,MATCH($A13,日常水質!$J$152:$N$152,0))),INDEX(日常水質!$J$207:$N$207,MATCH($A13,日常水質!$J$198:$N$198,0))),"")</f>
        <v/>
      </c>
      <c r="N13" s="1084" t="n"/>
      <c r="O13" s="1161">
        <f>IFERROR(IFERROR(IFERROR(IFERROR(IFERROR(INDEX(日常水質!$J$34:$N$34,MATCH($A13,日常水質!$J$14:$N$14,0)),INDEX(日常水質!$J$80:$N$80,MATCH($A13,日常水質!$J$60:$N$60,0))),INDEX(日常水質!$J$126:$N$126,MATCH($A13,日常水質!$J$106:$N$106,0))),INDEX(日常水質!$J$172:$N$172,MATCH($A13,日常水質!$J$152:$N$152,0))),INDEX(日常水質!$J$218:$N$218,MATCH($A13,日常水質!$J$198:$N$198,0))),"")</f>
        <v/>
      </c>
      <c r="P13" s="1161">
        <f>IFERROR(IFERROR(IFERROR(IFERROR(IFERROR(INDEX(日常水質!$J$32:$N$32,MATCH($A13,日常水質!$J$14:$N$14,0)),INDEX(日常水質!$J$78:$N$78,MATCH($A13,日常水質!$J$60:$N$60,0))),INDEX(日常水質!$J$124:$N$124,MATCH($A13,日常水質!$J$106:$N$106,0))),INDEX(日常水質!$J$170:$N$170,MATCH($A13,日常水質!$J$152:$N$152,0))),INDEX(日常水質!$J$216:$N$216,MATCH($A13,日常水質!$J$198:$N$198,0))),"")</f>
        <v/>
      </c>
      <c r="Q13" s="1162">
        <f>IFERROR(IFERROR(IFERROR(IFERROR(IFERROR(INDEX(日常水質!$J$36:$N$36,MATCH($A13,日常水質!$J$14:$N$14,0)),INDEX(日常水質!$J$82:$N$82,MATCH($A13,日常水質!$J$60:$N$60,0))),INDEX(日常水質!$J$128:$N$128,MATCH($A13,日常水質!$J$106:$N$106,0))),INDEX(日常水質!$J$174:$N$174,MATCH($A13,日常水質!$J$152:$N$152,0))),INDEX(日常水質!$J$220:$N$220,MATCH($A13,日常水質!$J$198:$N$198,0))),"")</f>
        <v/>
      </c>
    </row>
    <row r="14" ht="13.5" customHeight="1" s="614">
      <c r="A14" s="1145">
        <f>IF(ISNUMBER(A13),IF(MONTH(A13+1)=MONTH($A$8),A13+1,""),"")</f>
        <v/>
      </c>
      <c r="B14" s="1146">
        <f>IF(ISNUMBER(A14),A14,"")</f>
        <v/>
      </c>
      <c r="C14" s="1166">
        <f>IFERROR(IFERROR(IFERROR(IFERROR(IFERROR(INDEX(日常水質!$J$16:$N$16,MATCH($A14,日常水質!$J$14:$N$14,0)),INDEX(日常水質!$J$62:$N$62,MATCH($A14,日常水質!$J$60:$N$60,0))),INDEX(日常水質!$J$108:$N$108,MATCH($A14,日常水質!$J$106:$N$106,0))),INDEX(日常水質!$J$154:$N$154,MATCH($A14,日常水質!$J$152:$N$152,0))),INDEX(日常水質!$J$200:$N$200,MATCH($A14,日常水質!$J$198:$N$198,0))),"")</f>
        <v/>
      </c>
      <c r="D14" s="1163">
        <f>IFERROR(IFERROR(IFERROR(IFERROR(IFERROR(INDEX(日常水質!$J$17:$N$17,MATCH($A14,日常水質!$J$14:$N$14,0)),INDEX(日常水質!$J$63:$N$63,MATCH($A14,日常水質!$J$60:$N$60,0))),INDEX(日常水質!$J$109:$N$109,MATCH($A14,日常水質!$J$106:$N$106,0))),INDEX(日常水質!$J$155:$N$155,MATCH($A14,日常水質!$J$152:$N$152,0))),INDEX(日常水質!$J$201:$N$201,MATCH($A14,日常水質!$J$198:$N$198,0))),"")</f>
        <v/>
      </c>
      <c r="E14" s="1163" t="n"/>
      <c r="F14" s="1169">
        <f>IFERROR(IFERROR(IFERROR(IFERROR(IFERROR(INDEX(日常水質!$J$18:$N$18,MATCH($A14,日常水質!$J$14:$N$14,0)),INDEX(日常水質!$J$64:$N$64,MATCH($A14,日常水質!$J$60:$N$60,0))),INDEX(日常水質!$J$110:$N$110,MATCH($A14,日常水質!$J$106:$N$106,0))),INDEX(日常水質!$J$156:$N$156,MATCH($A14,日常水質!$J$152:$N$152,0))),INDEX(日常水質!$J$202:$N$202,MATCH($A14,日常水質!$J$198:$N$198,0))),"")</f>
        <v/>
      </c>
      <c r="G14" s="1158">
        <f>IFERROR(IFERROR(IFERROR(IFERROR(IFERROR(INDEX(日常水質!$J$27:$N$27,MATCH($A14,日常水質!$J$14:$N$14,0)),INDEX(日常水質!$J$73:$N$73,MATCH($A14,日常水質!$J$60:$N$60,0))),INDEX(日常水質!$J$119:$N$119,MATCH($A14,日常水質!$J$106:$N$106,0))),INDEX(日常水質!$J$165:$N$165,MATCH($A14,日常水質!$J$152:$N$152,0))),INDEX(日常水質!$J$211:$N$211,MATCH($A14,日常水質!$J$198:$N$198,0))),"")</f>
        <v/>
      </c>
      <c r="H14" s="1159">
        <f>IFERROR(IFERROR(IFERROR(IFERROR(IFERROR(INDEX(日常水質!$J$28:$N$28,MATCH($A14,日常水質!$J$14:$N$14,0)),INDEX(日常水質!$J$74:$N$74,MATCH($A14,日常水質!$J$60:$N$60,0))),INDEX(日常水質!$J$120:$N$120,MATCH($A14,日常水質!$J$106:$N$106,0))),INDEX(日常水質!$J$166:$N$166,MATCH($A14,日常水質!$J$152:$N$152,0))),INDEX(日常水質!$J$212:$N$212,MATCH($A14,日常水質!$J$198:$N$198,0))),"")</f>
        <v/>
      </c>
      <c r="I14" s="1159" t="n"/>
      <c r="J14" s="1160">
        <f>IFERROR(IFERROR(IFERROR(IFERROR(IFERROR(INDEX(日常水質!$J$29:$N$29,MATCH($A14,日常水質!$J$14:$N$14,0)),INDEX(日常水質!$J$75:$N$75,MATCH($A14,日常水質!$J$60:$N$60,0))),INDEX(日常水質!$J$121:$N$121,MATCH($A14,日常水質!$J$106:$N$106,0))),INDEX(日常水質!$J$167:$N$167,MATCH($A14,日常水質!$J$152:$N$152,0))),INDEX(日常水質!$J$213:$N$213,MATCH($A14,日常水質!$J$198:$N$198,0))),"")</f>
        <v/>
      </c>
      <c r="K14" s="1151">
        <f>IFERROR(IFERROR(IFERROR(IFERROR(IFERROR(INDEX(日常水質!$J$22:$N$22,MATCH($A14,日常水質!$J$14:$N$14,0)),INDEX(日常水質!$J$68:$N$68,MATCH($A14,日常水質!$J$60:$N$60,0))),INDEX(日常水質!$J$114:$N$114,MATCH($A14,日常水質!$J$106:$N$106,0))),INDEX(日常水質!$J$160:$N$160,MATCH($A14,日常水質!$J$152:$N$152,0))),INDEX(日常水質!$J$206:$N$206,MATCH($A14,日常水質!$J$198:$N$198,0))),"")</f>
        <v/>
      </c>
      <c r="L14" s="690" t="n"/>
      <c r="M14" s="1152">
        <f>IFERROR(IFERROR(IFERROR(IFERROR(IFERROR(INDEX(日常水質!$J$23:$N$23,MATCH($A14,日常水質!$J$14:$N$14,0)),INDEX(日常水質!$J$69:$N$69,MATCH($A14,日常水質!$J$60:$N$60,0))),INDEX(日常水質!$J$115:$N$115,MATCH($A14,日常水質!$J$106:$N$106,0))),INDEX(日常水質!$J$161:$N$161,MATCH($A14,日常水質!$J$152:$N$152,0))),INDEX(日常水質!$J$207:$N$207,MATCH($A14,日常水質!$J$198:$N$198,0))),"")</f>
        <v/>
      </c>
      <c r="N14" s="1084" t="n"/>
      <c r="O14" s="1161">
        <f>IFERROR(IFERROR(IFERROR(IFERROR(IFERROR(INDEX(日常水質!$J$34:$N$34,MATCH($A14,日常水質!$J$14:$N$14,0)),INDEX(日常水質!$J$80:$N$80,MATCH($A14,日常水質!$J$60:$N$60,0))),INDEX(日常水質!$J$126:$N$126,MATCH($A14,日常水質!$J$106:$N$106,0))),INDEX(日常水質!$J$172:$N$172,MATCH($A14,日常水質!$J$152:$N$152,0))),INDEX(日常水質!$J$218:$N$218,MATCH($A14,日常水質!$J$198:$N$198,0))),"")</f>
        <v/>
      </c>
      <c r="P14" s="1161">
        <f>IFERROR(IFERROR(IFERROR(IFERROR(IFERROR(INDEX(日常水質!$J$32:$N$32,MATCH($A14,日常水質!$J$14:$N$14,0)),INDEX(日常水質!$J$78:$N$78,MATCH($A14,日常水質!$J$60:$N$60,0))),INDEX(日常水質!$J$124:$N$124,MATCH($A14,日常水質!$J$106:$N$106,0))),INDEX(日常水質!$J$170:$N$170,MATCH($A14,日常水質!$J$152:$N$152,0))),INDEX(日常水質!$J$216:$N$216,MATCH($A14,日常水質!$J$198:$N$198,0))),"")</f>
        <v/>
      </c>
      <c r="Q14" s="1162">
        <f>IFERROR(IFERROR(IFERROR(IFERROR(IFERROR(INDEX(日常水質!$J$36:$N$36,MATCH($A14,日常水質!$J$14:$N$14,0)),INDEX(日常水質!$J$82:$N$82,MATCH($A14,日常水質!$J$60:$N$60,0))),INDEX(日常水質!$J$128:$N$128,MATCH($A14,日常水質!$J$106:$N$106,0))),INDEX(日常水質!$J$174:$N$174,MATCH($A14,日常水質!$J$152:$N$152,0))),INDEX(日常水質!$J$220:$N$220,MATCH($A14,日常水質!$J$198:$N$198,0))),"")</f>
        <v/>
      </c>
    </row>
    <row r="15" ht="13.5" customHeight="1" s="614">
      <c r="A15" s="1145">
        <f>IF(ISNUMBER(A14),IF(MONTH(A14+1)=MONTH($A$8),A14+1,""),"")</f>
        <v/>
      </c>
      <c r="B15" s="1146">
        <f>IF(ISNUMBER(A15),A15,"")</f>
        <v/>
      </c>
      <c r="C15" s="1157">
        <f>IFERROR(IFERROR(IFERROR(IFERROR(IFERROR(INDEX(日常水質!$J$16:$N$16,MATCH($A15,日常水質!$J$14:$N$14,0)),INDEX(日常水質!$J$62:$N$62,MATCH($A15,日常水質!$J$60:$N$60,0))),INDEX(日常水質!$J$108:$N$108,MATCH($A15,日常水質!$J$106:$N$106,0))),INDEX(日常水質!$J$154:$N$154,MATCH($A15,日常水質!$J$152:$N$152,0))),INDEX(日常水質!$J$200:$N$200,MATCH($A15,日常水質!$J$198:$N$198,0))),"")</f>
        <v/>
      </c>
      <c r="D15" s="1163">
        <f>IFERROR(IFERROR(IFERROR(IFERROR(IFERROR(INDEX(日常水質!$J$17:$N$17,MATCH($A15,日常水質!$J$14:$N$14,0)),INDEX(日常水質!$J$63:$N$63,MATCH($A15,日常水質!$J$60:$N$60,0))),INDEX(日常水質!$J$109:$N$109,MATCH($A15,日常水質!$J$106:$N$106,0))),INDEX(日常水質!$J$155:$N$155,MATCH($A15,日常水質!$J$152:$N$152,0))),INDEX(日常水質!$J$201:$N$201,MATCH($A15,日常水質!$J$198:$N$198,0))),"")</f>
        <v/>
      </c>
      <c r="E15" s="677" t="n"/>
      <c r="F15" s="1170">
        <f>IFERROR(IFERROR(IFERROR(IFERROR(IFERROR(INDEX(日常水質!$J$18:$N$18,MATCH($A15,日常水質!$J$14:$N$14,0)),INDEX(日常水質!$J$64:$N$64,MATCH($A15,日常水質!$J$60:$N$60,0))),INDEX(日常水質!$J$110:$N$110,MATCH($A15,日常水質!$J$106:$N$106,0))),INDEX(日常水質!$J$156:$N$156,MATCH($A15,日常水質!$J$152:$N$152,0))),INDEX(日常水質!$J$202:$N$202,MATCH($A15,日常水質!$J$198:$N$198,0))),"")</f>
        <v/>
      </c>
      <c r="G15" s="1171">
        <f>IFERROR(IFERROR(IFERROR(IFERROR(IFERROR(INDEX(日常水質!$J$27:$N$27,MATCH($A15,日常水質!$J$14:$N$14,0)),INDEX(日常水質!$J$73:$N$73,MATCH($A15,日常水質!$J$60:$N$60,0))),INDEX(日常水質!$J$119:$N$119,MATCH($A15,日常水質!$J$106:$N$106,0))),INDEX(日常水質!$J$165:$N$165,MATCH($A15,日常水質!$J$152:$N$152,0))),INDEX(日常水質!$J$211:$N$211,MATCH($A15,日常水質!$J$198:$N$198,0))),"")</f>
        <v/>
      </c>
      <c r="H15" s="1172">
        <f>IFERROR(IFERROR(IFERROR(IFERROR(IFERROR(INDEX(日常水質!$J$28:$N$28,MATCH($A15,日常水質!$J$14:$N$14,0)),INDEX(日常水質!$J$74:$N$74,MATCH($A15,日常水質!$J$60:$N$60,0))),INDEX(日常水質!$J$120:$N$120,MATCH($A15,日常水質!$J$106:$N$106,0))),INDEX(日常水質!$J$166:$N$166,MATCH($A15,日常水質!$J$152:$N$152,0))),INDEX(日常水質!$J$212:$N$212,MATCH($A15,日常水質!$J$198:$N$198,0))),"")</f>
        <v/>
      </c>
      <c r="I15" s="1172" t="n"/>
      <c r="J15" s="1160">
        <f>IFERROR(IFERROR(IFERROR(IFERROR(IFERROR(INDEX(日常水質!$J$29:$N$29,MATCH($A15,日常水質!$J$14:$N$14,0)),INDEX(日常水質!$J$75:$N$75,MATCH($A15,日常水質!$J$60:$N$60,0))),INDEX(日常水質!$J$121:$N$121,MATCH($A15,日常水質!$J$106:$N$106,0))),INDEX(日常水質!$J$167:$N$167,MATCH($A15,日常水質!$J$152:$N$152,0))),INDEX(日常水質!$J$213:$N$213,MATCH($A15,日常水質!$J$198:$N$198,0))),"")</f>
        <v/>
      </c>
      <c r="K15" s="1151">
        <f>IFERROR(IFERROR(IFERROR(IFERROR(IFERROR(INDEX(日常水質!$J$22:$N$22,MATCH($A15,日常水質!$J$14:$N$14,0)),INDEX(日常水質!$J$68:$N$68,MATCH($A15,日常水質!$J$60:$N$60,0))),INDEX(日常水質!$J$114:$N$114,MATCH($A15,日常水質!$J$106:$N$106,0))),INDEX(日常水質!$J$160:$N$160,MATCH($A15,日常水質!$J$152:$N$152,0))),INDEX(日常水質!$J$206:$N$206,MATCH($A15,日常水質!$J$198:$N$198,0))),"")</f>
        <v/>
      </c>
      <c r="L15" s="690" t="n"/>
      <c r="M15" s="1152">
        <f>IFERROR(IFERROR(IFERROR(IFERROR(IFERROR(INDEX(日常水質!$J$23:$N$23,MATCH($A15,日常水質!$J$14:$N$14,0)),INDEX(日常水質!$J$69:$N$69,MATCH($A15,日常水質!$J$60:$N$60,0))),INDEX(日常水質!$J$115:$N$115,MATCH($A15,日常水質!$J$106:$N$106,0))),INDEX(日常水質!$J$161:$N$161,MATCH($A15,日常水質!$J$152:$N$152,0))),INDEX(日常水質!$J$207:$N$207,MATCH($A15,日常水質!$J$198:$N$198,0))),"")</f>
        <v/>
      </c>
      <c r="N15" s="1084" t="n"/>
      <c r="O15" s="1161">
        <f>IFERROR(IFERROR(IFERROR(IFERROR(IFERROR(INDEX(日常水質!$J$34:$N$34,MATCH($A15,日常水質!$J$14:$N$14,0)),INDEX(日常水質!$J$80:$N$80,MATCH($A15,日常水質!$J$60:$N$60,0))),INDEX(日常水質!$J$126:$N$126,MATCH($A15,日常水質!$J$106:$N$106,0))),INDEX(日常水質!$J$172:$N$172,MATCH($A15,日常水質!$J$152:$N$152,0))),INDEX(日常水質!$J$218:$N$218,MATCH($A15,日常水質!$J$198:$N$198,0))),"")</f>
        <v/>
      </c>
      <c r="P15" s="1161">
        <f>IFERROR(IFERROR(IFERROR(IFERROR(IFERROR(INDEX(日常水質!$J$32:$N$32,MATCH($A15,日常水質!$J$14:$N$14,0)),INDEX(日常水質!$J$78:$N$78,MATCH($A15,日常水質!$J$60:$N$60,0))),INDEX(日常水質!$J$124:$N$124,MATCH($A15,日常水質!$J$106:$N$106,0))),INDEX(日常水質!$J$170:$N$170,MATCH($A15,日常水質!$J$152:$N$152,0))),INDEX(日常水質!$J$216:$N$216,MATCH($A15,日常水質!$J$198:$N$198,0))),"")</f>
        <v/>
      </c>
      <c r="Q15" s="1162">
        <f>IFERROR(IFERROR(IFERROR(IFERROR(IFERROR(INDEX(日常水質!$J$36:$N$36,MATCH($A15,日常水質!$J$14:$N$14,0)),INDEX(日常水質!$J$82:$N$82,MATCH($A15,日常水質!$J$60:$N$60,0))),INDEX(日常水質!$J$128:$N$128,MATCH($A15,日常水質!$J$106:$N$106,0))),INDEX(日常水質!$J$174:$N$174,MATCH($A15,日常水質!$J$152:$N$152,0))),INDEX(日常水質!$J$220:$N$220,MATCH($A15,日常水質!$J$198:$N$198,0))),"")</f>
        <v/>
      </c>
    </row>
    <row r="16" ht="13.5" customHeight="1" s="614">
      <c r="A16" s="1145">
        <f>IF(ISNUMBER(A15),IF(MONTH(A15+1)=MONTH($A$8),A15+1,""),"")</f>
        <v/>
      </c>
      <c r="B16" s="1146">
        <f>IF(ISNUMBER(A16),A16,"")</f>
        <v/>
      </c>
      <c r="C16" s="1157">
        <f>IFERROR(IFERROR(IFERROR(IFERROR(IFERROR(INDEX(日常水質!$J$16:$N$16,MATCH($A16,日常水質!$J$14:$N$14,0)),INDEX(日常水質!$J$62:$N$62,MATCH($A16,日常水質!$J$60:$N$60,0))),INDEX(日常水質!$J$108:$N$108,MATCH($A16,日常水質!$J$106:$N$106,0))),INDEX(日常水質!$J$154:$N$154,MATCH($A16,日常水質!$J$152:$N$152,0))),INDEX(日常水質!$J$200:$N$200,MATCH($A16,日常水質!$J$198:$N$198,0))),"")</f>
        <v/>
      </c>
      <c r="D16" s="1163">
        <f>IFERROR(IFERROR(IFERROR(IFERROR(IFERROR(INDEX(日常水質!$J$17:$N$17,MATCH($A16,日常水質!$J$14:$N$14,0)),INDEX(日常水質!$J$63:$N$63,MATCH($A16,日常水質!$J$60:$N$60,0))),INDEX(日常水質!$J$109:$N$109,MATCH($A16,日常水質!$J$106:$N$106,0))),INDEX(日常水質!$J$155:$N$155,MATCH($A16,日常水質!$J$152:$N$152,0))),INDEX(日常水質!$J$201:$N$201,MATCH($A16,日常水質!$J$198:$N$198,0))),"")</f>
        <v/>
      </c>
      <c r="E16" s="677" t="n"/>
      <c r="F16" s="1173">
        <f>IFERROR(IFERROR(IFERROR(IFERROR(IFERROR(INDEX(日常水質!$J$18:$N$18,MATCH($A16,日常水質!$J$14:$N$14,0)),INDEX(日常水質!$J$64:$N$64,MATCH($A16,日常水質!$J$60:$N$60,0))),INDEX(日常水質!$J$110:$N$110,MATCH($A16,日常水質!$J$106:$N$106,0))),INDEX(日常水質!$J$156:$N$156,MATCH($A16,日常水質!$J$152:$N$152,0))),INDEX(日常水質!$J$202:$N$202,MATCH($A16,日常水質!$J$198:$N$198,0))),"")</f>
        <v/>
      </c>
      <c r="G16" s="1171">
        <f>IFERROR(IFERROR(IFERROR(IFERROR(IFERROR(INDEX(日常水質!$J$27:$N$27,MATCH($A16,日常水質!$J$14:$N$14,0)),INDEX(日常水質!$J$73:$N$73,MATCH($A16,日常水質!$J$60:$N$60,0))),INDEX(日常水質!$J$119:$N$119,MATCH($A16,日常水質!$J$106:$N$106,0))),INDEX(日常水質!$J$165:$N$165,MATCH($A16,日常水質!$J$152:$N$152,0))),INDEX(日常水質!$J$211:$N$211,MATCH($A16,日常水質!$J$198:$N$198,0))),"")</f>
        <v/>
      </c>
      <c r="H16" s="1172">
        <f>IFERROR(IFERROR(IFERROR(IFERROR(IFERROR(INDEX(日常水質!$J$28:$N$28,MATCH($A16,日常水質!$J$14:$N$14,0)),INDEX(日常水質!$J$74:$N$74,MATCH($A16,日常水質!$J$60:$N$60,0))),INDEX(日常水質!$J$120:$N$120,MATCH($A16,日常水質!$J$106:$N$106,0))),INDEX(日常水質!$J$166:$N$166,MATCH($A16,日常水質!$J$152:$N$152,0))),INDEX(日常水質!$J$212:$N$212,MATCH($A16,日常水質!$J$198:$N$198,0))),"")</f>
        <v/>
      </c>
      <c r="I16" s="1172" t="n"/>
      <c r="J16" s="1160">
        <f>IFERROR(IFERROR(IFERROR(IFERROR(IFERROR(INDEX(日常水質!$J$29:$N$29,MATCH($A16,日常水質!$J$14:$N$14,0)),INDEX(日常水質!$J$75:$N$75,MATCH($A16,日常水質!$J$60:$N$60,0))),INDEX(日常水質!$J$121:$N$121,MATCH($A16,日常水質!$J$106:$N$106,0))),INDEX(日常水質!$J$167:$N$167,MATCH($A16,日常水質!$J$152:$N$152,0))),INDEX(日常水質!$J$213:$N$213,MATCH($A16,日常水質!$J$198:$N$198,0))),"")</f>
        <v/>
      </c>
      <c r="K16" s="1151">
        <f>IFERROR(IFERROR(IFERROR(IFERROR(IFERROR(INDEX(日常水質!$J$22:$N$22,MATCH($A16,日常水質!$J$14:$N$14,0)),INDEX(日常水質!$J$68:$N$68,MATCH($A16,日常水質!$J$60:$N$60,0))),INDEX(日常水質!$J$114:$N$114,MATCH($A16,日常水質!$J$106:$N$106,0))),INDEX(日常水質!$J$160:$N$160,MATCH($A16,日常水質!$J$152:$N$152,0))),INDEX(日常水質!$J$206:$N$206,MATCH($A16,日常水質!$J$198:$N$198,0))),"")</f>
        <v/>
      </c>
      <c r="L16" s="690" t="n"/>
      <c r="M16" s="1152">
        <f>IFERROR(IFERROR(IFERROR(IFERROR(IFERROR(INDEX(日常水質!$J$23:$N$23,MATCH($A16,日常水質!$J$14:$N$14,0)),INDEX(日常水質!$J$69:$N$69,MATCH($A16,日常水質!$J$60:$N$60,0))),INDEX(日常水質!$J$115:$N$115,MATCH($A16,日常水質!$J$106:$N$106,0))),INDEX(日常水質!$J$161:$N$161,MATCH($A16,日常水質!$J$152:$N$152,0))),INDEX(日常水質!$J$207:$N$207,MATCH($A16,日常水質!$J$198:$N$198,0))),"")</f>
        <v/>
      </c>
      <c r="N16" s="1084" t="n"/>
      <c r="O16" s="1161">
        <f>IFERROR(IFERROR(IFERROR(IFERROR(IFERROR(INDEX(日常水質!$J$34:$N$34,MATCH($A16,日常水質!$J$14:$N$14,0)),INDEX(日常水質!$J$80:$N$80,MATCH($A16,日常水質!$J$60:$N$60,0))),INDEX(日常水質!$J$126:$N$126,MATCH($A16,日常水質!$J$106:$N$106,0))),INDEX(日常水質!$J$172:$N$172,MATCH($A16,日常水質!$J$152:$N$152,0))),INDEX(日常水質!$J$218:$N$218,MATCH($A16,日常水質!$J$198:$N$198,0))),"")</f>
        <v/>
      </c>
      <c r="P16" s="1161">
        <f>IFERROR(IFERROR(IFERROR(IFERROR(IFERROR(INDEX(日常水質!$J$32:$N$32,MATCH($A16,日常水質!$J$14:$N$14,0)),INDEX(日常水質!$J$78:$N$78,MATCH($A16,日常水質!$J$60:$N$60,0))),INDEX(日常水質!$J$124:$N$124,MATCH($A16,日常水質!$J$106:$N$106,0))),INDEX(日常水質!$J$170:$N$170,MATCH($A16,日常水質!$J$152:$N$152,0))),INDEX(日常水質!$J$216:$N$216,MATCH($A16,日常水質!$J$198:$N$198,0))),"")</f>
        <v/>
      </c>
      <c r="Q16" s="1162">
        <f>IFERROR(IFERROR(IFERROR(IFERROR(IFERROR(INDEX(日常水質!$J$36:$N$36,MATCH($A16,日常水質!$J$14:$N$14,0)),INDEX(日常水質!$J$82:$N$82,MATCH($A16,日常水質!$J$60:$N$60,0))),INDEX(日常水質!$J$128:$N$128,MATCH($A16,日常水質!$J$106:$N$106,0))),INDEX(日常水質!$J$174:$N$174,MATCH($A16,日常水質!$J$152:$N$152,0))),INDEX(日常水質!$J$220:$N$220,MATCH($A16,日常水質!$J$198:$N$198,0))),"")</f>
        <v/>
      </c>
    </row>
    <row r="17" ht="13.5" customHeight="1" s="614">
      <c r="A17" s="1145">
        <f>IF(ISNUMBER(A16),IF(MONTH(A16+1)=MONTH($A$8),A16+1,""),"")</f>
        <v/>
      </c>
      <c r="B17" s="1146">
        <f>IF(ISNUMBER(A17),A17,"")</f>
        <v/>
      </c>
      <c r="C17" s="1157">
        <f>IFERROR(IFERROR(IFERROR(IFERROR(IFERROR(INDEX(日常水質!$J$16:$N$16,MATCH($A17,日常水質!$J$14:$N$14,0)),INDEX(日常水質!$J$62:$N$62,MATCH($A17,日常水質!$J$60:$N$60,0))),INDEX(日常水質!$J$108:$N$108,MATCH($A17,日常水質!$J$106:$N$106,0))),INDEX(日常水質!$J$154:$N$154,MATCH($A17,日常水質!$J$152:$N$152,0))),INDEX(日常水質!$J$200:$N$200,MATCH($A17,日常水質!$J$198:$N$198,0))),"")</f>
        <v/>
      </c>
      <c r="D17" s="1163">
        <f>IFERROR(IFERROR(IFERROR(IFERROR(IFERROR(INDEX(日常水質!$J$17:$N$17,MATCH($A17,日常水質!$J$14:$N$14,0)),INDEX(日常水質!$J$63:$N$63,MATCH($A17,日常水質!$J$60:$N$60,0))),INDEX(日常水質!$J$109:$N$109,MATCH($A17,日常水質!$J$106:$N$106,0))),INDEX(日常水質!$J$155:$N$155,MATCH($A17,日常水質!$J$152:$N$152,0))),INDEX(日常水質!$J$201:$N$201,MATCH($A17,日常水質!$J$198:$N$198,0))),"")</f>
        <v/>
      </c>
      <c r="E17" s="748" t="n"/>
      <c r="F17" s="1173">
        <f>IFERROR(IFERROR(IFERROR(IFERROR(IFERROR(INDEX(日常水質!$J$18:$N$18,MATCH($A17,日常水質!$J$14:$N$14,0)),INDEX(日常水質!$J$64:$N$64,MATCH($A17,日常水質!$J$60:$N$60,0))),INDEX(日常水質!$J$110:$N$110,MATCH($A17,日常水質!$J$106:$N$106,0))),INDEX(日常水質!$J$156:$N$156,MATCH($A17,日常水質!$J$152:$N$152,0))),INDEX(日常水質!$J$202:$N$202,MATCH($A17,日常水質!$J$198:$N$198,0))),"")</f>
        <v/>
      </c>
      <c r="G17" s="1174">
        <f>IFERROR(IFERROR(IFERROR(IFERROR(IFERROR(INDEX(日常水質!$J$27:$N$27,MATCH($A17,日常水質!$J$14:$N$14,0)),INDEX(日常水質!$J$73:$N$73,MATCH($A17,日常水質!$J$60:$N$60,0))),INDEX(日常水質!$J$119:$N$119,MATCH($A17,日常水質!$J$106:$N$106,0))),INDEX(日常水質!$J$165:$N$165,MATCH($A17,日常水質!$J$152:$N$152,0))),INDEX(日常水質!$J$211:$N$211,MATCH($A17,日常水質!$J$198:$N$198,0))),"")</f>
        <v/>
      </c>
      <c r="H17" s="1172">
        <f>IFERROR(IFERROR(IFERROR(IFERROR(IFERROR(INDEX(日常水質!$J$28:$N$28,MATCH($A17,日常水質!$J$14:$N$14,0)),INDEX(日常水質!$J$74:$N$74,MATCH($A17,日常水質!$J$60:$N$60,0))),INDEX(日常水質!$J$120:$N$120,MATCH($A17,日常水質!$J$106:$N$106,0))),INDEX(日常水質!$J$166:$N$166,MATCH($A17,日常水質!$J$152:$N$152,0))),INDEX(日常水質!$J$212:$N$212,MATCH($A17,日常水質!$J$198:$N$198,0))),"")</f>
        <v/>
      </c>
      <c r="I17" s="1172" t="n"/>
      <c r="J17" s="1160">
        <f>IFERROR(IFERROR(IFERROR(IFERROR(IFERROR(INDEX(日常水質!$J$29:$N$29,MATCH($A17,日常水質!$J$14:$N$14,0)),INDEX(日常水質!$J$75:$N$75,MATCH($A17,日常水質!$J$60:$N$60,0))),INDEX(日常水質!$J$121:$N$121,MATCH($A17,日常水質!$J$106:$N$106,0))),INDEX(日常水質!$J$167:$N$167,MATCH($A17,日常水質!$J$152:$N$152,0))),INDEX(日常水質!$J$213:$N$213,MATCH($A17,日常水質!$J$198:$N$198,0))),"")</f>
        <v/>
      </c>
      <c r="K17" s="1151">
        <f>IFERROR(IFERROR(IFERROR(IFERROR(IFERROR(INDEX(日常水質!$J$22:$N$22,MATCH($A17,日常水質!$J$14:$N$14,0)),INDEX(日常水質!$J$68:$N$68,MATCH($A17,日常水質!$J$60:$N$60,0))),INDEX(日常水質!$J$114:$N$114,MATCH($A17,日常水質!$J$106:$N$106,0))),INDEX(日常水質!$J$160:$N$160,MATCH($A17,日常水質!$J$152:$N$152,0))),INDEX(日常水質!$J$206:$N$206,MATCH($A17,日常水質!$J$198:$N$198,0))),"")</f>
        <v/>
      </c>
      <c r="L17" s="690" t="n"/>
      <c r="M17" s="1152">
        <f>IFERROR(IFERROR(IFERROR(IFERROR(IFERROR(INDEX(日常水質!$J$23:$N$23,MATCH($A17,日常水質!$J$14:$N$14,0)),INDEX(日常水質!$J$69:$N$69,MATCH($A17,日常水質!$J$60:$N$60,0))),INDEX(日常水質!$J$115:$N$115,MATCH($A17,日常水質!$J$106:$N$106,0))),INDEX(日常水質!$J$161:$N$161,MATCH($A17,日常水質!$J$152:$N$152,0))),INDEX(日常水質!$J$207:$N$207,MATCH($A17,日常水質!$J$198:$N$198,0))),"")</f>
        <v/>
      </c>
      <c r="N17" s="1084" t="n"/>
      <c r="O17" s="1161">
        <f>IFERROR(IFERROR(IFERROR(IFERROR(IFERROR(INDEX(日常水質!$J$34:$N$34,MATCH($A17,日常水質!$J$14:$N$14,0)),INDEX(日常水質!$J$80:$N$80,MATCH($A17,日常水質!$J$60:$N$60,0))),INDEX(日常水質!$J$126:$N$126,MATCH($A17,日常水質!$J$106:$N$106,0))),INDEX(日常水質!$J$172:$N$172,MATCH($A17,日常水質!$J$152:$N$152,0))),INDEX(日常水質!$J$218:$N$218,MATCH($A17,日常水質!$J$198:$N$198,0))),"")</f>
        <v/>
      </c>
      <c r="P17" s="1161">
        <f>IFERROR(IFERROR(IFERROR(IFERROR(IFERROR(INDEX(日常水質!$J$32:$N$32,MATCH($A17,日常水質!$J$14:$N$14,0)),INDEX(日常水質!$J$78:$N$78,MATCH($A17,日常水質!$J$60:$N$60,0))),INDEX(日常水質!$J$124:$N$124,MATCH($A17,日常水質!$J$106:$N$106,0))),INDEX(日常水質!$J$170:$N$170,MATCH($A17,日常水質!$J$152:$N$152,0))),INDEX(日常水質!$J$216:$N$216,MATCH($A17,日常水質!$J$198:$N$198,0))),"")</f>
        <v/>
      </c>
      <c r="Q17" s="1162">
        <f>IFERROR(IFERROR(IFERROR(IFERROR(IFERROR(INDEX(日常水質!$J$36:$N$36,MATCH($A17,日常水質!$J$14:$N$14,0)),INDEX(日常水質!$J$82:$N$82,MATCH($A17,日常水質!$J$60:$N$60,0))),INDEX(日常水質!$J$128:$N$128,MATCH($A17,日常水質!$J$106:$N$106,0))),INDEX(日常水質!$J$174:$N$174,MATCH($A17,日常水質!$J$152:$N$152,0))),INDEX(日常水質!$J$220:$N$220,MATCH($A17,日常水質!$J$198:$N$198,0))),"")</f>
        <v/>
      </c>
    </row>
    <row r="18" ht="13.5" customHeight="1" s="614">
      <c r="A18" s="1145">
        <f>IF(ISNUMBER(A17),IF(MONTH(A17+1)=MONTH($A$8),A17+1,""),"")</f>
        <v/>
      </c>
      <c r="B18" s="1146">
        <f>IF(ISNUMBER(A18),A18,"")</f>
        <v/>
      </c>
      <c r="C18" s="1166">
        <f>IFERROR(IFERROR(IFERROR(IFERROR(IFERROR(INDEX(日常水質!$J$16:$N$16,MATCH($A18,日常水質!$J$14:$N$14,0)),INDEX(日常水質!$J$62:$N$62,MATCH($A18,日常水質!$J$60:$N$60,0))),INDEX(日常水質!$J$108:$N$108,MATCH($A18,日常水質!$J$106:$N$106,0))),INDEX(日常水質!$J$154:$N$154,MATCH($A18,日常水質!$J$152:$N$152,0))),INDEX(日常水質!$J$200:$N$200,MATCH($A18,日常水質!$J$198:$N$198,0))),"")</f>
        <v/>
      </c>
      <c r="D18" s="1163">
        <f>IFERROR(IFERROR(IFERROR(IFERROR(IFERROR(INDEX(日常水質!$J$17:$N$17,MATCH($A18,日常水質!$J$14:$N$14,0)),INDEX(日常水質!$J$63:$N$63,MATCH($A18,日常水質!$J$60:$N$60,0))),INDEX(日常水質!$J$109:$N$109,MATCH($A18,日常水質!$J$106:$N$106,0))),INDEX(日常水質!$J$155:$N$155,MATCH($A18,日常水質!$J$152:$N$152,0))),INDEX(日常水質!$J$201:$N$201,MATCH($A18,日常水質!$J$198:$N$198,0))),"")</f>
        <v/>
      </c>
      <c r="E18" s="1163" t="n"/>
      <c r="F18" s="1175">
        <f>IFERROR(IFERROR(IFERROR(IFERROR(IFERROR(INDEX(日常水質!$J$18:$N$18,MATCH($A18,日常水質!$J$14:$N$14,0)),INDEX(日常水質!$J$64:$N$64,MATCH($A18,日常水質!$J$60:$N$60,0))),INDEX(日常水質!$J$110:$N$110,MATCH($A18,日常水質!$J$106:$N$106,0))),INDEX(日常水質!$J$156:$N$156,MATCH($A18,日常水質!$J$152:$N$152,0))),INDEX(日常水質!$J$202:$N$202,MATCH($A18,日常水質!$J$198:$N$198,0))),"")</f>
        <v/>
      </c>
      <c r="G18" s="1158">
        <f>IFERROR(IFERROR(IFERROR(IFERROR(IFERROR(INDEX(日常水質!$J$27:$N$27,MATCH($A18,日常水質!$J$14:$N$14,0)),INDEX(日常水質!$J$73:$N$73,MATCH($A18,日常水質!$J$60:$N$60,0))),INDEX(日常水質!$J$119:$N$119,MATCH($A18,日常水質!$J$106:$N$106,0))),INDEX(日常水質!$J$165:$N$165,MATCH($A18,日常水質!$J$152:$N$152,0))),INDEX(日常水質!$J$211:$N$211,MATCH($A18,日常水質!$J$198:$N$198,0))),"")</f>
        <v/>
      </c>
      <c r="H18" s="1172">
        <f>IFERROR(IFERROR(IFERROR(IFERROR(IFERROR(INDEX(日常水質!$J$28:$N$28,MATCH($A18,日常水質!$J$14:$N$14,0)),INDEX(日常水質!$J$74:$N$74,MATCH($A18,日常水質!$J$60:$N$60,0))),INDEX(日常水質!$J$120:$N$120,MATCH($A18,日常水質!$J$106:$N$106,0))),INDEX(日常水質!$J$166:$N$166,MATCH($A18,日常水質!$J$152:$N$152,0))),INDEX(日常水質!$J$212:$N$212,MATCH($A18,日常水質!$J$198:$N$198,0))),"")</f>
        <v/>
      </c>
      <c r="I18" s="1172" t="n"/>
      <c r="J18" s="1160">
        <f>IFERROR(IFERROR(IFERROR(IFERROR(IFERROR(INDEX(日常水質!$J$29:$N$29,MATCH($A18,日常水質!$J$14:$N$14,0)),INDEX(日常水質!$J$75:$N$75,MATCH($A18,日常水質!$J$60:$N$60,0))),INDEX(日常水質!$J$121:$N$121,MATCH($A18,日常水質!$J$106:$N$106,0))),INDEX(日常水質!$J$167:$N$167,MATCH($A18,日常水質!$J$152:$N$152,0))),INDEX(日常水質!$J$213:$N$213,MATCH($A18,日常水質!$J$198:$N$198,0))),"")</f>
        <v/>
      </c>
      <c r="K18" s="1176">
        <f>IFERROR(IFERROR(IFERROR(IFERROR(IFERROR(INDEX(日常水質!$J$22:$N$22,MATCH($A18,日常水質!$J$14:$N$14,0)),INDEX(日常水質!$J$68:$N$68,MATCH($A18,日常水質!$J$60:$N$60,0))),INDEX(日常水質!$J$114:$N$114,MATCH($A18,日常水質!$J$106:$N$106,0))),INDEX(日常水質!$J$160:$N$160,MATCH($A18,日常水質!$J$152:$N$152,0))),INDEX(日常水質!$J$206:$N$206,MATCH($A18,日常水質!$J$198:$N$198,0))),"")</f>
        <v/>
      </c>
      <c r="L18" s="690" t="n"/>
      <c r="M18" s="1152">
        <f>IFERROR(IFERROR(IFERROR(IFERROR(IFERROR(INDEX(日常水質!$J$23:$N$23,MATCH($A18,日常水質!$J$14:$N$14,0)),INDEX(日常水質!$J$69:$N$69,MATCH($A18,日常水質!$J$60:$N$60,0))),INDEX(日常水質!$J$115:$N$115,MATCH($A18,日常水質!$J$106:$N$106,0))),INDEX(日常水質!$J$161:$N$161,MATCH($A18,日常水質!$J$152:$N$152,0))),INDEX(日常水質!$J$207:$N$207,MATCH($A18,日常水質!$J$198:$N$198,0))),"")</f>
        <v/>
      </c>
      <c r="N18" s="1084" t="n"/>
      <c r="O18" s="1161">
        <f>IFERROR(IFERROR(IFERROR(IFERROR(IFERROR(INDEX(日常水質!$J$34:$N$34,MATCH($A18,日常水質!$J$14:$N$14,0)),INDEX(日常水質!$J$80:$N$80,MATCH($A18,日常水質!$J$60:$N$60,0))),INDEX(日常水質!$J$126:$N$126,MATCH($A18,日常水質!$J$106:$N$106,0))),INDEX(日常水質!$J$172:$N$172,MATCH($A18,日常水質!$J$152:$N$152,0))),INDEX(日常水質!$J$218:$N$218,MATCH($A18,日常水質!$J$198:$N$198,0))),"")</f>
        <v/>
      </c>
      <c r="P18" s="1161">
        <f>IFERROR(IFERROR(IFERROR(IFERROR(IFERROR(INDEX(日常水質!$J$32:$N$32,MATCH($A18,日常水質!$J$14:$N$14,0)),INDEX(日常水質!$J$78:$N$78,MATCH($A18,日常水質!$J$60:$N$60,0))),INDEX(日常水質!$J$124:$N$124,MATCH($A18,日常水質!$J$106:$N$106,0))),INDEX(日常水質!$J$170:$N$170,MATCH($A18,日常水質!$J$152:$N$152,0))),INDEX(日常水質!$J$216:$N$216,MATCH($A18,日常水質!$J$198:$N$198,0))),"")</f>
        <v/>
      </c>
      <c r="Q18" s="1162">
        <f>IFERROR(IFERROR(IFERROR(IFERROR(IFERROR(INDEX(日常水質!$J$36:$N$36,MATCH($A18,日常水質!$J$14:$N$14,0)),INDEX(日常水質!$J$82:$N$82,MATCH($A18,日常水質!$J$60:$N$60,0))),INDEX(日常水質!$J$128:$N$128,MATCH($A18,日常水質!$J$106:$N$106,0))),INDEX(日常水質!$J$174:$N$174,MATCH($A18,日常水質!$J$152:$N$152,0))),INDEX(日常水質!$J$220:$N$220,MATCH($A18,日常水質!$J$198:$N$198,0))),"")</f>
        <v/>
      </c>
    </row>
    <row r="19" ht="13.5" customHeight="1" s="614">
      <c r="A19" s="1145">
        <f>IF(ISNUMBER(A18),IF(MONTH(A18+1)=MONTH($A$8),A18+1,""),"")</f>
        <v/>
      </c>
      <c r="B19" s="1146">
        <f>IF(ISNUMBER(A19),A19,"")</f>
        <v/>
      </c>
      <c r="C19" s="1166">
        <f>IFERROR(IFERROR(IFERROR(IFERROR(IFERROR(INDEX(日常水質!$J$16:$N$16,MATCH($A19,日常水質!$J$14:$N$14,0)),INDEX(日常水質!$J$62:$N$62,MATCH($A19,日常水質!$J$60:$N$60,0))),INDEX(日常水質!$J$108:$N$108,MATCH($A19,日常水質!$J$106:$N$106,0))),INDEX(日常水質!$J$154:$N$154,MATCH($A19,日常水質!$J$152:$N$152,0))),INDEX(日常水質!$J$200:$N$200,MATCH($A19,日常水質!$J$198:$N$198,0))),"")</f>
        <v/>
      </c>
      <c r="D19" s="1163">
        <f>IFERROR(IFERROR(IFERROR(IFERROR(IFERROR(INDEX(日常水質!$J$17:$N$17,MATCH($A19,日常水質!$J$14:$N$14,0)),INDEX(日常水質!$J$63:$N$63,MATCH($A19,日常水質!$J$60:$N$60,0))),INDEX(日常水質!$J$109:$N$109,MATCH($A19,日常水質!$J$106:$N$106,0))),INDEX(日常水質!$J$155:$N$155,MATCH($A19,日常水質!$J$152:$N$152,0))),INDEX(日常水質!$J$201:$N$201,MATCH($A19,日常水質!$J$198:$N$198,0))),"")</f>
        <v/>
      </c>
      <c r="E19" s="1163" t="n"/>
      <c r="F19" s="1169">
        <f>IFERROR(IFERROR(IFERROR(IFERROR(IFERROR(INDEX(日常水質!$J$18:$N$18,MATCH($A19,日常水質!$J$14:$N$14,0)),INDEX(日常水質!$J$64:$N$64,MATCH($A19,日常水質!$J$60:$N$60,0))),INDEX(日常水質!$J$110:$N$110,MATCH($A19,日常水質!$J$106:$N$106,0))),INDEX(日常水質!$J$156:$N$156,MATCH($A19,日常水質!$J$152:$N$152,0))),INDEX(日常水質!$J$202:$N$202,MATCH($A19,日常水質!$J$198:$N$198,0))),"")</f>
        <v/>
      </c>
      <c r="G19" s="1158">
        <f>IFERROR(IFERROR(IFERROR(IFERROR(IFERROR(INDEX(日常水質!$J$27:$N$27,MATCH($A19,日常水質!$J$14:$N$14,0)),INDEX(日常水質!$J$73:$N$73,MATCH($A19,日常水質!$J$60:$N$60,0))),INDEX(日常水質!$J$119:$N$119,MATCH($A19,日常水質!$J$106:$N$106,0))),INDEX(日常水質!$J$165:$N$165,MATCH($A19,日常水質!$J$152:$N$152,0))),INDEX(日常水質!$J$211:$N$211,MATCH($A19,日常水質!$J$198:$N$198,0))),"")</f>
        <v/>
      </c>
      <c r="H19" s="1172">
        <f>IFERROR(IFERROR(IFERROR(IFERROR(IFERROR(INDEX(日常水質!$J$28:$N$28,MATCH($A19,日常水質!$J$14:$N$14,0)),INDEX(日常水質!$J$74:$N$74,MATCH($A19,日常水質!$J$60:$N$60,0))),INDEX(日常水質!$J$120:$N$120,MATCH($A19,日常水質!$J$106:$N$106,0))),INDEX(日常水質!$J$166:$N$166,MATCH($A19,日常水質!$J$152:$N$152,0))),INDEX(日常水質!$J$212:$N$212,MATCH($A19,日常水質!$J$198:$N$198,0))),"")</f>
        <v/>
      </c>
      <c r="I19" s="1172" t="n"/>
      <c r="J19" s="1160">
        <f>IFERROR(IFERROR(IFERROR(IFERROR(IFERROR(INDEX(日常水質!$J$29:$N$29,MATCH($A19,日常水質!$J$14:$N$14,0)),INDEX(日常水質!$J$75:$N$75,MATCH($A19,日常水質!$J$60:$N$60,0))),INDEX(日常水質!$J$121:$N$121,MATCH($A19,日常水質!$J$106:$N$106,0))),INDEX(日常水質!$J$167:$N$167,MATCH($A19,日常水質!$J$152:$N$152,0))),INDEX(日常水質!$J$213:$N$213,MATCH($A19,日常水質!$J$198:$N$198,0))),"")</f>
        <v/>
      </c>
      <c r="K19" s="1176">
        <f>IFERROR(IFERROR(IFERROR(IFERROR(IFERROR(INDEX(日常水質!$J$22:$N$22,MATCH($A19,日常水質!$J$14:$N$14,0)),INDEX(日常水質!$J$68:$N$68,MATCH($A19,日常水質!$J$60:$N$60,0))),INDEX(日常水質!$J$114:$N$114,MATCH($A19,日常水質!$J$106:$N$106,0))),INDEX(日常水質!$J$160:$N$160,MATCH($A19,日常水質!$J$152:$N$152,0))),INDEX(日常水質!$J$206:$N$206,MATCH($A19,日常水質!$J$198:$N$198,0))),"")</f>
        <v/>
      </c>
      <c r="L19" s="690" t="n"/>
      <c r="M19" s="1152">
        <f>IFERROR(IFERROR(IFERROR(IFERROR(IFERROR(INDEX(日常水質!$J$23:$N$23,MATCH($A19,日常水質!$J$14:$N$14,0)),INDEX(日常水質!$J$69:$N$69,MATCH($A19,日常水質!$J$60:$N$60,0))),INDEX(日常水質!$J$115:$N$115,MATCH($A19,日常水質!$J$106:$N$106,0))),INDEX(日常水質!$J$161:$N$161,MATCH($A19,日常水質!$J$152:$N$152,0))),INDEX(日常水質!$J$207:$N$207,MATCH($A19,日常水質!$J$198:$N$198,0))),"")</f>
        <v/>
      </c>
      <c r="N19" s="1177" t="n"/>
      <c r="O19" s="1161">
        <f>IFERROR(IFERROR(IFERROR(IFERROR(IFERROR(INDEX(日常水質!$J$34:$N$34,MATCH($A19,日常水質!$J$14:$N$14,0)),INDEX(日常水質!$J$80:$N$80,MATCH($A19,日常水質!$J$60:$N$60,0))),INDEX(日常水質!$J$126:$N$126,MATCH($A19,日常水質!$J$106:$N$106,0))),INDEX(日常水質!$J$172:$N$172,MATCH($A19,日常水質!$J$152:$N$152,0))),INDEX(日常水質!$J$218:$N$218,MATCH($A19,日常水質!$J$198:$N$198,0))),"")</f>
        <v/>
      </c>
      <c r="P19" s="1161">
        <f>IFERROR(IFERROR(IFERROR(IFERROR(IFERROR(INDEX(日常水質!$J$32:$N$32,MATCH($A19,日常水質!$J$14:$N$14,0)),INDEX(日常水質!$J$78:$N$78,MATCH($A19,日常水質!$J$60:$N$60,0))),INDEX(日常水質!$J$124:$N$124,MATCH($A19,日常水質!$J$106:$N$106,0))),INDEX(日常水質!$J$170:$N$170,MATCH($A19,日常水質!$J$152:$N$152,0))),INDEX(日常水質!$J$216:$N$216,MATCH($A19,日常水質!$J$198:$N$198,0))),"")</f>
        <v/>
      </c>
      <c r="Q19" s="1162">
        <f>IFERROR(IFERROR(IFERROR(IFERROR(IFERROR(INDEX(日常水質!$J$36:$N$36,MATCH($A19,日常水質!$J$14:$N$14,0)),INDEX(日常水質!$J$82:$N$82,MATCH($A19,日常水質!$J$60:$N$60,0))),INDEX(日常水質!$J$128:$N$128,MATCH($A19,日常水質!$J$106:$N$106,0))),INDEX(日常水質!$J$174:$N$174,MATCH($A19,日常水質!$J$152:$N$152,0))),INDEX(日常水質!$J$220:$N$220,MATCH($A19,日常水質!$J$198:$N$198,0))),"")</f>
        <v/>
      </c>
    </row>
    <row r="20" ht="13.5" customHeight="1" s="614">
      <c r="A20" s="1145">
        <f>IF(ISNUMBER(A19),IF(MONTH(A19+1)=MONTH($A$8),A19+1,""),"")</f>
        <v/>
      </c>
      <c r="B20" s="1146">
        <f>IF(ISNUMBER(A20),A20,"")</f>
        <v/>
      </c>
      <c r="C20" s="1178">
        <f>IFERROR(IFERROR(IFERROR(IFERROR(IFERROR(INDEX(日常水質!$J$16:$N$16,MATCH($A20,日常水質!$J$14:$N$14,0)),INDEX(日常水質!$J$62:$N$62,MATCH($A20,日常水質!$J$60:$N$60,0))),INDEX(日常水質!$J$108:$N$108,MATCH($A20,日常水質!$J$106:$N$106,0))),INDEX(日常水質!$J$154:$N$154,MATCH($A20,日常水質!$J$152:$N$152,0))),INDEX(日常水質!$J$200:$N$200,MATCH($A20,日常水質!$J$198:$N$198,0))),"")</f>
        <v/>
      </c>
      <c r="D20" s="1163">
        <f>IFERROR(IFERROR(IFERROR(IFERROR(IFERROR(INDEX(日常水質!$J$17:$N$17,MATCH($A20,日常水質!$J$14:$N$14,0)),INDEX(日常水質!$J$63:$N$63,MATCH($A20,日常水質!$J$60:$N$60,0))),INDEX(日常水質!$J$109:$N$109,MATCH($A20,日常水質!$J$106:$N$106,0))),INDEX(日常水質!$J$155:$N$155,MATCH($A20,日常水質!$J$152:$N$152,0))),INDEX(日常水質!$J$201:$N$201,MATCH($A20,日常水質!$J$198:$N$198,0))),"")</f>
        <v/>
      </c>
      <c r="E20" s="759" t="n"/>
      <c r="F20" s="759">
        <f>IFERROR(IFERROR(IFERROR(IFERROR(IFERROR(INDEX(日常水質!$J$18:$N$18,MATCH($A20,日常水質!$J$14:$N$14,0)),INDEX(日常水質!$J$64:$N$64,MATCH($A20,日常水質!$J$60:$N$60,0))),INDEX(日常水質!$J$110:$N$110,MATCH($A20,日常水質!$J$106:$N$106,0))),INDEX(日常水質!$J$156:$N$156,MATCH($A20,日常水質!$J$152:$N$152,0))),INDEX(日常水質!$J$202:$N$202,MATCH($A20,日常水質!$J$198:$N$198,0))),"")</f>
        <v/>
      </c>
      <c r="G20" s="1158">
        <f>IFERROR(IFERROR(IFERROR(IFERROR(IFERROR(INDEX(日常水質!$J$27:$N$27,MATCH($A20,日常水質!$J$14:$N$14,0)),INDEX(日常水質!$J$73:$N$73,MATCH($A20,日常水質!$J$60:$N$60,0))),INDEX(日常水質!$J$119:$N$119,MATCH($A20,日常水質!$J$106:$N$106,0))),INDEX(日常水質!$J$165:$N$165,MATCH($A20,日常水質!$J$152:$N$152,0))),INDEX(日常水質!$J$211:$N$211,MATCH($A20,日常水質!$J$198:$N$198,0))),"")</f>
        <v/>
      </c>
      <c r="H20" s="1172">
        <f>IFERROR(IFERROR(IFERROR(IFERROR(IFERROR(INDEX(日常水質!$J$28:$N$28,MATCH($A20,日常水質!$J$14:$N$14,0)),INDEX(日常水質!$J$74:$N$74,MATCH($A20,日常水質!$J$60:$N$60,0))),INDEX(日常水質!$J$120:$N$120,MATCH($A20,日常水質!$J$106:$N$106,0))),INDEX(日常水質!$J$166:$N$166,MATCH($A20,日常水質!$J$152:$N$152,0))),INDEX(日常水質!$J$212:$N$212,MATCH($A20,日常水質!$J$198:$N$198,0))),"")</f>
        <v/>
      </c>
      <c r="I20" s="1172" t="n"/>
      <c r="J20" s="1160">
        <f>IFERROR(IFERROR(IFERROR(IFERROR(IFERROR(INDEX(日常水質!$J$29:$N$29,MATCH($A20,日常水質!$J$14:$N$14,0)),INDEX(日常水質!$J$75:$N$75,MATCH($A20,日常水質!$J$60:$N$60,0))),INDEX(日常水質!$J$121:$N$121,MATCH($A20,日常水質!$J$106:$N$106,0))),INDEX(日常水質!$J$167:$N$167,MATCH($A20,日常水質!$J$152:$N$152,0))),INDEX(日常水質!$J$213:$N$213,MATCH($A20,日常水質!$J$198:$N$198,0))),"")</f>
        <v/>
      </c>
      <c r="K20" s="1151">
        <f>IFERROR(IFERROR(IFERROR(IFERROR(IFERROR(INDEX(日常水質!$J$22:$N$22,MATCH($A20,日常水質!$J$14:$N$14,0)),INDEX(日常水質!$J$68:$N$68,MATCH($A20,日常水質!$J$60:$N$60,0))),INDEX(日常水質!$J$114:$N$114,MATCH($A20,日常水質!$J$106:$N$106,0))),INDEX(日常水質!$J$160:$N$160,MATCH($A20,日常水質!$J$152:$N$152,0))),INDEX(日常水質!$J$206:$N$206,MATCH($A20,日常水質!$J$198:$N$198,0))),"")</f>
        <v/>
      </c>
      <c r="L20" s="690" t="n"/>
      <c r="M20" s="1152">
        <f>IFERROR(IFERROR(IFERROR(IFERROR(IFERROR(INDEX(日常水質!$J$23:$N$23,MATCH($A20,日常水質!$J$14:$N$14,0)),INDEX(日常水質!$J$69:$N$69,MATCH($A20,日常水質!$J$60:$N$60,0))),INDEX(日常水質!$J$115:$N$115,MATCH($A20,日常水質!$J$106:$N$106,0))),INDEX(日常水質!$J$161:$N$161,MATCH($A20,日常水質!$J$152:$N$152,0))),INDEX(日常水質!$J$207:$N$207,MATCH($A20,日常水質!$J$198:$N$198,0))),"")</f>
        <v/>
      </c>
      <c r="N20" s="1177" t="n"/>
      <c r="O20" s="1161">
        <f>IFERROR(IFERROR(IFERROR(IFERROR(IFERROR(INDEX(日常水質!$J$34:$N$34,MATCH($A20,日常水質!$J$14:$N$14,0)),INDEX(日常水質!$J$80:$N$80,MATCH($A20,日常水質!$J$60:$N$60,0))),INDEX(日常水質!$J$126:$N$126,MATCH($A20,日常水質!$J$106:$N$106,0))),INDEX(日常水質!$J$172:$N$172,MATCH($A20,日常水質!$J$152:$N$152,0))),INDEX(日常水質!$J$218:$N$218,MATCH($A20,日常水質!$J$198:$N$198,0))),"")</f>
        <v/>
      </c>
      <c r="P20" s="1161">
        <f>IFERROR(IFERROR(IFERROR(IFERROR(IFERROR(INDEX(日常水質!$J$32:$N$32,MATCH($A20,日常水質!$J$14:$N$14,0)),INDEX(日常水質!$J$78:$N$78,MATCH($A20,日常水質!$J$60:$N$60,0))),INDEX(日常水質!$J$124:$N$124,MATCH($A20,日常水質!$J$106:$N$106,0))),INDEX(日常水質!$J$170:$N$170,MATCH($A20,日常水質!$J$152:$N$152,0))),INDEX(日常水質!$J$216:$N$216,MATCH($A20,日常水質!$J$198:$N$198,0))),"")</f>
        <v/>
      </c>
      <c r="Q20" s="1162">
        <f>IFERROR(IFERROR(IFERROR(IFERROR(IFERROR(INDEX(日常水質!$J$36:$N$36,MATCH($A20,日常水質!$J$14:$N$14,0)),INDEX(日常水質!$J$82:$N$82,MATCH($A20,日常水質!$J$60:$N$60,0))),INDEX(日常水質!$J$128:$N$128,MATCH($A20,日常水質!$J$106:$N$106,0))),INDEX(日常水質!$J$174:$N$174,MATCH($A20,日常水質!$J$152:$N$152,0))),INDEX(日常水質!$J$220:$N$220,MATCH($A20,日常水質!$J$198:$N$198,0))),"")</f>
        <v/>
      </c>
    </row>
    <row r="21" ht="13.5" customHeight="1" s="614">
      <c r="A21" s="1145">
        <f>IF(ISNUMBER(A20),IF(MONTH(A20+1)=MONTH($A$8),A20+1,""),"")</f>
        <v/>
      </c>
      <c r="B21" s="1146">
        <f>IF(ISNUMBER(A21),A21,"")</f>
        <v/>
      </c>
      <c r="C21" s="1178">
        <f>IFERROR(IFERROR(IFERROR(IFERROR(IFERROR(INDEX(日常水質!$J$16:$N$16,MATCH($A21,日常水質!$J$14:$N$14,0)),INDEX(日常水質!$J$62:$N$62,MATCH($A21,日常水質!$J$60:$N$60,0))),INDEX(日常水質!$J$108:$N$108,MATCH($A21,日常水質!$J$106:$N$106,0))),INDEX(日常水質!$J$154:$N$154,MATCH($A21,日常水質!$J$152:$N$152,0))),INDEX(日常水質!$J$200:$N$200,MATCH($A21,日常水質!$J$198:$N$198,0))),"")</f>
        <v/>
      </c>
      <c r="D21" s="1163">
        <f>IFERROR(IFERROR(IFERROR(IFERROR(IFERROR(INDEX(日常水質!$J$17:$N$17,MATCH($A21,日常水質!$J$14:$N$14,0)),INDEX(日常水質!$J$63:$N$63,MATCH($A21,日常水質!$J$60:$N$60,0))),INDEX(日常水質!$J$109:$N$109,MATCH($A21,日常水質!$J$106:$N$106,0))),INDEX(日常水質!$J$155:$N$155,MATCH($A21,日常水質!$J$152:$N$152,0))),INDEX(日常水質!$J$201:$N$201,MATCH($A21,日常水質!$J$198:$N$198,0))),"")</f>
        <v/>
      </c>
      <c r="E21" s="759" t="n"/>
      <c r="F21" s="759">
        <f>IFERROR(IFERROR(IFERROR(IFERROR(IFERROR(INDEX(日常水質!$J$18:$N$18,MATCH($A21,日常水質!$J$14:$N$14,0)),INDEX(日常水質!$J$64:$N$64,MATCH($A21,日常水質!$J$60:$N$60,0))),INDEX(日常水質!$J$110:$N$110,MATCH($A21,日常水質!$J$106:$N$106,0))),INDEX(日常水質!$J$156:$N$156,MATCH($A21,日常水質!$J$152:$N$152,0))),INDEX(日常水質!$J$202:$N$202,MATCH($A21,日常水質!$J$198:$N$198,0))),"")</f>
        <v/>
      </c>
      <c r="G21" s="1158">
        <f>IFERROR(IFERROR(IFERROR(IFERROR(IFERROR(INDEX(日常水質!$J$27:$N$27,MATCH($A21,日常水質!$J$14:$N$14,0)),INDEX(日常水質!$J$73:$N$73,MATCH($A21,日常水質!$J$60:$N$60,0))),INDEX(日常水質!$J$119:$N$119,MATCH($A21,日常水質!$J$106:$N$106,0))),INDEX(日常水質!$J$165:$N$165,MATCH($A21,日常水質!$J$152:$N$152,0))),INDEX(日常水質!$J$211:$N$211,MATCH($A21,日常水質!$J$198:$N$198,0))),"")</f>
        <v/>
      </c>
      <c r="H21" s="1172">
        <f>IFERROR(IFERROR(IFERROR(IFERROR(IFERROR(INDEX(日常水質!$J$28:$N$28,MATCH($A21,日常水質!$J$14:$N$14,0)),INDEX(日常水質!$J$74:$N$74,MATCH($A21,日常水質!$J$60:$N$60,0))),INDEX(日常水質!$J$120:$N$120,MATCH($A21,日常水質!$J$106:$N$106,0))),INDEX(日常水質!$J$166:$N$166,MATCH($A21,日常水質!$J$152:$N$152,0))),INDEX(日常水質!$J$212:$N$212,MATCH($A21,日常水質!$J$198:$N$198,0))),"")</f>
        <v/>
      </c>
      <c r="I21" s="1172" t="n"/>
      <c r="J21" s="1160">
        <f>IFERROR(IFERROR(IFERROR(IFERROR(IFERROR(INDEX(日常水質!$J$29:$N$29,MATCH($A21,日常水質!$J$14:$N$14,0)),INDEX(日常水質!$J$75:$N$75,MATCH($A21,日常水質!$J$60:$N$60,0))),INDEX(日常水質!$J$121:$N$121,MATCH($A21,日常水質!$J$106:$N$106,0))),INDEX(日常水質!$J$167:$N$167,MATCH($A21,日常水質!$J$152:$N$152,0))),INDEX(日常水質!$J$213:$N$213,MATCH($A21,日常水質!$J$198:$N$198,0))),"")</f>
        <v/>
      </c>
      <c r="K21" s="1151">
        <f>IFERROR(IFERROR(IFERROR(IFERROR(IFERROR(INDEX(日常水質!$J$22:$N$22,MATCH($A21,日常水質!$J$14:$N$14,0)),INDEX(日常水質!$J$68:$N$68,MATCH($A21,日常水質!$J$60:$N$60,0))),INDEX(日常水質!$J$114:$N$114,MATCH($A21,日常水質!$J$106:$N$106,0))),INDEX(日常水質!$J$160:$N$160,MATCH($A21,日常水質!$J$152:$N$152,0))),INDEX(日常水質!$J$206:$N$206,MATCH($A21,日常水質!$J$198:$N$198,0))),"")</f>
        <v/>
      </c>
      <c r="L21" s="690" t="n"/>
      <c r="M21" s="1152">
        <f>IFERROR(IFERROR(IFERROR(IFERROR(IFERROR(INDEX(日常水質!$J$23:$N$23,MATCH($A21,日常水質!$J$14:$N$14,0)),INDEX(日常水質!$J$69:$N$69,MATCH($A21,日常水質!$J$60:$N$60,0))),INDEX(日常水質!$J$115:$N$115,MATCH($A21,日常水質!$J$106:$N$106,0))),INDEX(日常水質!$J$161:$N$161,MATCH($A21,日常水質!$J$152:$N$152,0))),INDEX(日常水質!$J$207:$N$207,MATCH($A21,日常水質!$J$198:$N$198,0))),"")</f>
        <v/>
      </c>
      <c r="N21" s="1177" t="n"/>
      <c r="O21" s="1161">
        <f>IFERROR(IFERROR(IFERROR(IFERROR(IFERROR(INDEX(日常水質!$J$34:$N$34,MATCH($A21,日常水質!$J$14:$N$14,0)),INDEX(日常水質!$J$80:$N$80,MATCH($A21,日常水質!$J$60:$N$60,0))),INDEX(日常水質!$J$126:$N$126,MATCH($A21,日常水質!$J$106:$N$106,0))),INDEX(日常水質!$J$172:$N$172,MATCH($A21,日常水質!$J$152:$N$152,0))),INDEX(日常水質!$J$218:$N$218,MATCH($A21,日常水質!$J$198:$N$198,0))),"")</f>
        <v/>
      </c>
      <c r="P21" s="1161">
        <f>IFERROR(IFERROR(IFERROR(IFERROR(IFERROR(INDEX(日常水質!$J$32:$N$32,MATCH($A21,日常水質!$J$14:$N$14,0)),INDEX(日常水質!$J$78:$N$78,MATCH($A21,日常水質!$J$60:$N$60,0))),INDEX(日常水質!$J$124:$N$124,MATCH($A21,日常水質!$J$106:$N$106,0))),INDEX(日常水質!$J$170:$N$170,MATCH($A21,日常水質!$J$152:$N$152,0))),INDEX(日常水質!$J$216:$N$216,MATCH($A21,日常水質!$J$198:$N$198,0))),"")</f>
        <v/>
      </c>
      <c r="Q21" s="1162">
        <f>IFERROR(IFERROR(IFERROR(IFERROR(IFERROR(INDEX(日常水質!$J$36:$N$36,MATCH($A21,日常水質!$J$14:$N$14,0)),INDEX(日常水質!$J$82:$N$82,MATCH($A21,日常水質!$J$60:$N$60,0))),INDEX(日常水質!$J$128:$N$128,MATCH($A21,日常水質!$J$106:$N$106,0))),INDEX(日常水質!$J$174:$N$174,MATCH($A21,日常水質!$J$152:$N$152,0))),INDEX(日常水質!$J$220:$N$220,MATCH($A21,日常水質!$J$198:$N$198,0))),"")</f>
        <v/>
      </c>
    </row>
    <row r="22" ht="13.5" customHeight="1" s="614">
      <c r="A22" s="1145">
        <f>IF(ISNUMBER(A21),IF(MONTH(A21+1)=MONTH($A$8),A21+1,""),"")</f>
        <v/>
      </c>
      <c r="B22" s="1146">
        <f>IF(ISNUMBER(A22),A22,"")</f>
        <v/>
      </c>
      <c r="C22" s="1178">
        <f>IFERROR(IFERROR(IFERROR(IFERROR(IFERROR(INDEX(日常水質!$J$16:$N$16,MATCH($A22,日常水質!$J$14:$N$14,0)),INDEX(日常水質!$J$62:$N$62,MATCH($A22,日常水質!$J$60:$N$60,0))),INDEX(日常水質!$J$108:$N$108,MATCH($A22,日常水質!$J$106:$N$106,0))),INDEX(日常水質!$J$154:$N$154,MATCH($A22,日常水質!$J$152:$N$152,0))),INDEX(日常水質!$J$200:$N$200,MATCH($A22,日常水質!$J$198:$N$198,0))),"")</f>
        <v/>
      </c>
      <c r="D22" s="1163">
        <f>IFERROR(IFERROR(IFERROR(IFERROR(IFERROR(INDEX(日常水質!$J$17:$N$17,MATCH($A22,日常水質!$J$14:$N$14,0)),INDEX(日常水質!$J$63:$N$63,MATCH($A22,日常水質!$J$60:$N$60,0))),INDEX(日常水質!$J$109:$N$109,MATCH($A22,日常水質!$J$106:$N$106,0))),INDEX(日常水質!$J$155:$N$155,MATCH($A22,日常水質!$J$152:$N$152,0))),INDEX(日常水質!$J$201:$N$201,MATCH($A22,日常水質!$J$198:$N$198,0))),"")</f>
        <v/>
      </c>
      <c r="E22" s="759" t="n"/>
      <c r="F22" s="759">
        <f>IFERROR(IFERROR(IFERROR(IFERROR(IFERROR(INDEX(日常水質!$J$18:$N$18,MATCH($A22,日常水質!$J$14:$N$14,0)),INDEX(日常水質!$J$64:$N$64,MATCH($A22,日常水質!$J$60:$N$60,0))),INDEX(日常水質!$J$110:$N$110,MATCH($A22,日常水質!$J$106:$N$106,0))),INDEX(日常水質!$J$156:$N$156,MATCH($A22,日常水質!$J$152:$N$152,0))),INDEX(日常水質!$J$202:$N$202,MATCH($A22,日常水質!$J$198:$N$198,0))),"")</f>
        <v/>
      </c>
      <c r="G22" s="1158">
        <f>IFERROR(IFERROR(IFERROR(IFERROR(IFERROR(INDEX(日常水質!$J$27:$N$27,MATCH($A22,日常水質!$J$14:$N$14,0)),INDEX(日常水質!$J$73:$N$73,MATCH($A22,日常水質!$J$60:$N$60,0))),INDEX(日常水質!$J$119:$N$119,MATCH($A22,日常水質!$J$106:$N$106,0))),INDEX(日常水質!$J$165:$N$165,MATCH($A22,日常水質!$J$152:$N$152,0))),INDEX(日常水質!$J$211:$N$211,MATCH($A22,日常水質!$J$198:$N$198,0))),"")</f>
        <v/>
      </c>
      <c r="H22" s="1172">
        <f>IFERROR(IFERROR(IFERROR(IFERROR(IFERROR(INDEX(日常水質!$J$28:$N$28,MATCH($A22,日常水質!$J$14:$N$14,0)),INDEX(日常水質!$J$74:$N$74,MATCH($A22,日常水質!$J$60:$N$60,0))),INDEX(日常水質!$J$120:$N$120,MATCH($A22,日常水質!$J$106:$N$106,0))),INDEX(日常水質!$J$166:$N$166,MATCH($A22,日常水質!$J$152:$N$152,0))),INDEX(日常水質!$J$212:$N$212,MATCH($A22,日常水質!$J$198:$N$198,0))),"")</f>
        <v/>
      </c>
      <c r="I22" s="1172" t="n"/>
      <c r="J22" s="1160">
        <f>IFERROR(IFERROR(IFERROR(IFERROR(IFERROR(INDEX(日常水質!$J$29:$N$29,MATCH($A22,日常水質!$J$14:$N$14,0)),INDEX(日常水質!$J$75:$N$75,MATCH($A22,日常水質!$J$60:$N$60,0))),INDEX(日常水質!$J$121:$N$121,MATCH($A22,日常水質!$J$106:$N$106,0))),INDEX(日常水質!$J$167:$N$167,MATCH($A22,日常水質!$J$152:$N$152,0))),INDEX(日常水質!$J$213:$N$213,MATCH($A22,日常水質!$J$198:$N$198,0))),"")</f>
        <v/>
      </c>
      <c r="K22" s="1151">
        <f>IFERROR(IFERROR(IFERROR(IFERROR(IFERROR(INDEX(日常水質!$J$22:$N$22,MATCH($A22,日常水質!$J$14:$N$14,0)),INDEX(日常水質!$J$68:$N$68,MATCH($A22,日常水質!$J$60:$N$60,0))),INDEX(日常水質!$J$114:$N$114,MATCH($A22,日常水質!$J$106:$N$106,0))),INDEX(日常水質!$J$160:$N$160,MATCH($A22,日常水質!$J$152:$N$152,0))),INDEX(日常水質!$J$206:$N$206,MATCH($A22,日常水質!$J$198:$N$198,0))),"")</f>
        <v/>
      </c>
      <c r="L22" s="690" t="n"/>
      <c r="M22" s="1152">
        <f>IFERROR(IFERROR(IFERROR(IFERROR(IFERROR(INDEX(日常水質!$J$23:$N$23,MATCH($A22,日常水質!$J$14:$N$14,0)),INDEX(日常水質!$J$69:$N$69,MATCH($A22,日常水質!$J$60:$N$60,0))),INDEX(日常水質!$J$115:$N$115,MATCH($A22,日常水質!$J$106:$N$106,0))),INDEX(日常水質!$J$161:$N$161,MATCH($A22,日常水質!$J$152:$N$152,0))),INDEX(日常水質!$J$207:$N$207,MATCH($A22,日常水質!$J$198:$N$198,0))),"")</f>
        <v/>
      </c>
      <c r="N22" s="1177" t="n"/>
      <c r="O22" s="1161">
        <f>IFERROR(IFERROR(IFERROR(IFERROR(IFERROR(INDEX(日常水質!$J$34:$N$34,MATCH($A22,日常水質!$J$14:$N$14,0)),INDEX(日常水質!$J$80:$N$80,MATCH($A22,日常水質!$J$60:$N$60,0))),INDEX(日常水質!$J$126:$N$126,MATCH($A22,日常水質!$J$106:$N$106,0))),INDEX(日常水質!$J$172:$N$172,MATCH($A22,日常水質!$J$152:$N$152,0))),INDEX(日常水質!$J$218:$N$218,MATCH($A22,日常水質!$J$198:$N$198,0))),"")</f>
        <v/>
      </c>
      <c r="P22" s="1161">
        <f>IFERROR(IFERROR(IFERROR(IFERROR(IFERROR(INDEX(日常水質!$J$32:$N$32,MATCH($A22,日常水質!$J$14:$N$14,0)),INDEX(日常水質!$J$78:$N$78,MATCH($A22,日常水質!$J$60:$N$60,0))),INDEX(日常水質!$J$124:$N$124,MATCH($A22,日常水質!$J$106:$N$106,0))),INDEX(日常水質!$J$170:$N$170,MATCH($A22,日常水質!$J$152:$N$152,0))),INDEX(日常水質!$J$216:$N$216,MATCH($A22,日常水質!$J$198:$N$198,0))),"")</f>
        <v/>
      </c>
      <c r="Q22" s="1162">
        <f>IFERROR(IFERROR(IFERROR(IFERROR(IFERROR(INDEX(日常水質!$J$36:$N$36,MATCH($A22,日常水質!$J$14:$N$14,0)),INDEX(日常水質!$J$82:$N$82,MATCH($A22,日常水質!$J$60:$N$60,0))),INDEX(日常水質!$J$128:$N$128,MATCH($A22,日常水質!$J$106:$N$106,0))),INDEX(日常水質!$J$174:$N$174,MATCH($A22,日常水質!$J$152:$N$152,0))),INDEX(日常水質!$J$220:$N$220,MATCH($A22,日常水質!$J$198:$N$198,0))),"")</f>
        <v/>
      </c>
    </row>
    <row r="23" ht="13.5" customHeight="1" s="614">
      <c r="A23" s="1145">
        <f>IF(ISNUMBER(A22),IF(MONTH(A22+1)=MONTH($A$8),A22+1,""),"")</f>
        <v/>
      </c>
      <c r="B23" s="1146">
        <f>IF(ISNUMBER(A23),A23,"")</f>
        <v/>
      </c>
      <c r="C23" s="1166">
        <f>IFERROR(IFERROR(IFERROR(IFERROR(IFERROR(INDEX(日常水質!$J$16:$N$16,MATCH($A23,日常水質!$J$14:$N$14,0)),INDEX(日常水質!$J$62:$N$62,MATCH($A23,日常水質!$J$60:$N$60,0))),INDEX(日常水質!$J$108:$N$108,MATCH($A23,日常水質!$J$106:$N$106,0))),INDEX(日常水質!$J$154:$N$154,MATCH($A23,日常水質!$J$152:$N$152,0))),INDEX(日常水質!$J$200:$N$200,MATCH($A23,日常水質!$J$198:$N$198,0))),"")</f>
        <v/>
      </c>
      <c r="D23" s="1163">
        <f>IFERROR(IFERROR(IFERROR(IFERROR(IFERROR(INDEX(日常水質!$J$17:$N$17,MATCH($A23,日常水質!$J$14:$N$14,0)),INDEX(日常水質!$J$63:$N$63,MATCH($A23,日常水質!$J$60:$N$60,0))),INDEX(日常水質!$J$109:$N$109,MATCH($A23,日常水質!$J$106:$N$106,0))),INDEX(日常水質!$J$155:$N$155,MATCH($A23,日常水質!$J$152:$N$152,0))),INDEX(日常水質!$J$201:$N$201,MATCH($A23,日常水質!$J$198:$N$198,0))),"")</f>
        <v/>
      </c>
      <c r="E23" s="1163" t="n"/>
      <c r="F23" s="1179">
        <f>IFERROR(IFERROR(IFERROR(IFERROR(IFERROR(INDEX(日常水質!$J$18:$N$18,MATCH($A23,日常水質!$J$14:$N$14,0)),INDEX(日常水質!$J$64:$N$64,MATCH($A23,日常水質!$J$60:$N$60,0))),INDEX(日常水質!$J$110:$N$110,MATCH($A23,日常水質!$J$106:$N$106,0))),INDEX(日常水質!$J$156:$N$156,MATCH($A23,日常水質!$J$152:$N$152,0))),INDEX(日常水質!$J$202:$N$202,MATCH($A23,日常水質!$J$198:$N$198,0))),"")</f>
        <v/>
      </c>
      <c r="G23" s="1158">
        <f>IFERROR(IFERROR(IFERROR(IFERROR(IFERROR(INDEX(日常水質!$J$27:$N$27,MATCH($A23,日常水質!$J$14:$N$14,0)),INDEX(日常水質!$J$73:$N$73,MATCH($A23,日常水質!$J$60:$N$60,0))),INDEX(日常水質!$J$119:$N$119,MATCH($A23,日常水質!$J$106:$N$106,0))),INDEX(日常水質!$J$165:$N$165,MATCH($A23,日常水質!$J$152:$N$152,0))),INDEX(日常水質!$J$211:$N$211,MATCH($A23,日常水質!$J$198:$N$198,0))),"")</f>
        <v/>
      </c>
      <c r="H23" s="1172">
        <f>IFERROR(IFERROR(IFERROR(IFERROR(IFERROR(INDEX(日常水質!$J$28:$N$28,MATCH($A23,日常水質!$J$14:$N$14,0)),INDEX(日常水質!$J$74:$N$74,MATCH($A23,日常水質!$J$60:$N$60,0))),INDEX(日常水質!$J$120:$N$120,MATCH($A23,日常水質!$J$106:$N$106,0))),INDEX(日常水質!$J$166:$N$166,MATCH($A23,日常水質!$J$152:$N$152,0))),INDEX(日常水質!$J$212:$N$212,MATCH($A23,日常水質!$J$198:$N$198,0))),"")</f>
        <v/>
      </c>
      <c r="I23" s="1172" t="n"/>
      <c r="J23" s="1160">
        <f>IFERROR(IFERROR(IFERROR(IFERROR(IFERROR(INDEX(日常水質!$J$29:$N$29,MATCH($A23,日常水質!$J$14:$N$14,0)),INDEX(日常水質!$J$75:$N$75,MATCH($A23,日常水質!$J$60:$N$60,0))),INDEX(日常水質!$J$121:$N$121,MATCH($A23,日常水質!$J$106:$N$106,0))),INDEX(日常水質!$J$167:$N$167,MATCH($A23,日常水質!$J$152:$N$152,0))),INDEX(日常水質!$J$213:$N$213,MATCH($A23,日常水質!$J$198:$N$198,0))),"")</f>
        <v/>
      </c>
      <c r="K23" s="1151">
        <f>IFERROR(IFERROR(IFERROR(IFERROR(IFERROR(INDEX(日常水質!$J$22:$N$22,MATCH($A23,日常水質!$J$14:$N$14,0)),INDEX(日常水質!$J$68:$N$68,MATCH($A23,日常水質!$J$60:$N$60,0))),INDEX(日常水質!$J$114:$N$114,MATCH($A23,日常水質!$J$106:$N$106,0))),INDEX(日常水質!$J$160:$N$160,MATCH($A23,日常水質!$J$152:$N$152,0))),INDEX(日常水質!$J$206:$N$206,MATCH($A23,日常水質!$J$198:$N$198,0))),"")</f>
        <v/>
      </c>
      <c r="L23" s="690" t="n"/>
      <c r="M23" s="1152">
        <f>IFERROR(IFERROR(IFERROR(IFERROR(IFERROR(INDEX(日常水質!$J$23:$N$23,MATCH($A23,日常水質!$J$14:$N$14,0)),INDEX(日常水質!$J$69:$N$69,MATCH($A23,日常水質!$J$60:$N$60,0))),INDEX(日常水質!$J$115:$N$115,MATCH($A23,日常水質!$J$106:$N$106,0))),INDEX(日常水質!$J$161:$N$161,MATCH($A23,日常水質!$J$152:$N$152,0))),INDEX(日常水質!$J$207:$N$207,MATCH($A23,日常水質!$J$198:$N$198,0))),"")</f>
        <v/>
      </c>
      <c r="N23" s="1177" t="n"/>
      <c r="O23" s="1161">
        <f>IFERROR(IFERROR(IFERROR(IFERROR(IFERROR(INDEX(日常水質!$J$34:$N$34,MATCH($A23,日常水質!$J$14:$N$14,0)),INDEX(日常水質!$J$80:$N$80,MATCH($A23,日常水質!$J$60:$N$60,0))),INDEX(日常水質!$J$126:$N$126,MATCH($A23,日常水質!$J$106:$N$106,0))),INDEX(日常水質!$J$172:$N$172,MATCH($A23,日常水質!$J$152:$N$152,0))),INDEX(日常水質!$J$218:$N$218,MATCH($A23,日常水質!$J$198:$N$198,0))),"")</f>
        <v/>
      </c>
      <c r="P23" s="1161">
        <f>IFERROR(IFERROR(IFERROR(IFERROR(IFERROR(INDEX(日常水質!$J$32:$N$32,MATCH($A23,日常水質!$J$14:$N$14,0)),INDEX(日常水質!$J$78:$N$78,MATCH($A23,日常水質!$J$60:$N$60,0))),INDEX(日常水質!$J$124:$N$124,MATCH($A23,日常水質!$J$106:$N$106,0))),INDEX(日常水質!$J$170:$N$170,MATCH($A23,日常水質!$J$152:$N$152,0))),INDEX(日常水質!$J$216:$N$216,MATCH($A23,日常水質!$J$198:$N$198,0))),"")</f>
        <v/>
      </c>
      <c r="Q23" s="1162">
        <f>IFERROR(IFERROR(IFERROR(IFERROR(IFERROR(INDEX(日常水質!$J$36:$N$36,MATCH($A23,日常水質!$J$14:$N$14,0)),INDEX(日常水質!$J$82:$N$82,MATCH($A23,日常水質!$J$60:$N$60,0))),INDEX(日常水質!$J$128:$N$128,MATCH($A23,日常水質!$J$106:$N$106,0))),INDEX(日常水質!$J$174:$N$174,MATCH($A23,日常水質!$J$152:$N$152,0))),INDEX(日常水質!$J$220:$N$220,MATCH($A23,日常水質!$J$198:$N$198,0))),"")</f>
        <v/>
      </c>
    </row>
    <row r="24" ht="13.5" customHeight="1" s="614">
      <c r="A24" s="1145">
        <f>IF(ISNUMBER(A23),IF(MONTH(A23+1)=MONTH($A$8),A23+1,""),"")</f>
        <v/>
      </c>
      <c r="B24" s="1146">
        <f>IF(ISNUMBER(A24),A24,"")</f>
        <v/>
      </c>
      <c r="C24" s="1166">
        <f>IFERROR(IFERROR(IFERROR(IFERROR(IFERROR(INDEX(日常水質!$J$16:$N$16,MATCH($A24,日常水質!$J$14:$N$14,0)),INDEX(日常水質!$J$62:$N$62,MATCH($A24,日常水質!$J$60:$N$60,0))),INDEX(日常水質!$J$108:$N$108,MATCH($A24,日常水質!$J$106:$N$106,0))),INDEX(日常水質!$J$154:$N$154,MATCH($A24,日常水質!$J$152:$N$152,0))),INDEX(日常水質!$J$200:$N$200,MATCH($A24,日常水質!$J$198:$N$198,0))),"")</f>
        <v/>
      </c>
      <c r="D24" s="1163">
        <f>IFERROR(IFERROR(IFERROR(IFERROR(IFERROR(INDEX(日常水質!$J$17:$N$17,MATCH($A24,日常水質!$J$14:$N$14,0)),INDEX(日常水質!$J$63:$N$63,MATCH($A24,日常水質!$J$60:$N$60,0))),INDEX(日常水質!$J$109:$N$109,MATCH($A24,日常水質!$J$106:$N$106,0))),INDEX(日常水質!$J$155:$N$155,MATCH($A24,日常水質!$J$152:$N$152,0))),INDEX(日常水質!$J$201:$N$201,MATCH($A24,日常水質!$J$198:$N$198,0))),"")</f>
        <v/>
      </c>
      <c r="E24" s="1163" t="n"/>
      <c r="F24" s="1179">
        <f>IFERROR(IFERROR(IFERROR(IFERROR(IFERROR(INDEX(日常水質!$J$18:$N$18,MATCH($A24,日常水質!$J$14:$N$14,0)),INDEX(日常水質!$J$64:$N$64,MATCH($A24,日常水質!$J$60:$N$60,0))),INDEX(日常水質!$J$110:$N$110,MATCH($A24,日常水質!$J$106:$N$106,0))),INDEX(日常水質!$J$156:$N$156,MATCH($A24,日常水質!$J$152:$N$152,0))),INDEX(日常水質!$J$202:$N$202,MATCH($A24,日常水質!$J$198:$N$198,0))),"")</f>
        <v/>
      </c>
      <c r="G24" s="1158">
        <f>IFERROR(IFERROR(IFERROR(IFERROR(IFERROR(INDEX(日常水質!$J$27:$N$27,MATCH($A24,日常水質!$J$14:$N$14,0)),INDEX(日常水質!$J$73:$N$73,MATCH($A24,日常水質!$J$60:$N$60,0))),INDEX(日常水質!$J$119:$N$119,MATCH($A24,日常水質!$J$106:$N$106,0))),INDEX(日常水質!$J$165:$N$165,MATCH($A24,日常水質!$J$152:$N$152,0))),INDEX(日常水質!$J$211:$N$211,MATCH($A24,日常水質!$J$198:$N$198,0))),"")</f>
        <v/>
      </c>
      <c r="H24" s="1172">
        <f>IFERROR(IFERROR(IFERROR(IFERROR(IFERROR(INDEX(日常水質!$J$28:$N$28,MATCH($A24,日常水質!$J$14:$N$14,0)),INDEX(日常水質!$J$74:$N$74,MATCH($A24,日常水質!$J$60:$N$60,0))),INDEX(日常水質!$J$120:$N$120,MATCH($A24,日常水質!$J$106:$N$106,0))),INDEX(日常水質!$J$166:$N$166,MATCH($A24,日常水質!$J$152:$N$152,0))),INDEX(日常水質!$J$212:$N$212,MATCH($A24,日常水質!$J$198:$N$198,0))),"")</f>
        <v/>
      </c>
      <c r="I24" s="1172" t="n"/>
      <c r="J24" s="1160">
        <f>IFERROR(IFERROR(IFERROR(IFERROR(IFERROR(INDEX(日常水質!$J$29:$N$29,MATCH($A24,日常水質!$J$14:$N$14,0)),INDEX(日常水質!$J$75:$N$75,MATCH($A24,日常水質!$J$60:$N$60,0))),INDEX(日常水質!$J$121:$N$121,MATCH($A24,日常水質!$J$106:$N$106,0))),INDEX(日常水質!$J$167:$N$167,MATCH($A24,日常水質!$J$152:$N$152,0))),INDEX(日常水質!$J$213:$N$213,MATCH($A24,日常水質!$J$198:$N$198,0))),"")</f>
        <v/>
      </c>
      <c r="K24" s="1151">
        <f>IFERROR(IFERROR(IFERROR(IFERROR(IFERROR(INDEX(日常水質!$J$22:$N$22,MATCH($A24,日常水質!$J$14:$N$14,0)),INDEX(日常水質!$J$68:$N$68,MATCH($A24,日常水質!$J$60:$N$60,0))),INDEX(日常水質!$J$114:$N$114,MATCH($A24,日常水質!$J$106:$N$106,0))),INDEX(日常水質!$J$160:$N$160,MATCH($A24,日常水質!$J$152:$N$152,0))),INDEX(日常水質!$J$206:$N$206,MATCH($A24,日常水質!$J$198:$N$198,0))),"")</f>
        <v/>
      </c>
      <c r="L24" s="690" t="n"/>
      <c r="M24" s="1152">
        <f>IFERROR(IFERROR(IFERROR(IFERROR(IFERROR(INDEX(日常水質!$J$23:$N$23,MATCH($A24,日常水質!$J$14:$N$14,0)),INDEX(日常水質!$J$69:$N$69,MATCH($A24,日常水質!$J$60:$N$60,0))),INDEX(日常水質!$J$115:$N$115,MATCH($A24,日常水質!$J$106:$N$106,0))),INDEX(日常水質!$J$161:$N$161,MATCH($A24,日常水質!$J$152:$N$152,0))),INDEX(日常水質!$J$207:$N$207,MATCH($A24,日常水質!$J$198:$N$198,0))),"")</f>
        <v/>
      </c>
      <c r="N24" s="1177" t="n"/>
      <c r="O24" s="1161">
        <f>IFERROR(IFERROR(IFERROR(IFERROR(IFERROR(INDEX(日常水質!$J$34:$N$34,MATCH($A24,日常水質!$J$14:$N$14,0)),INDEX(日常水質!$J$80:$N$80,MATCH($A24,日常水質!$J$60:$N$60,0))),INDEX(日常水質!$J$126:$N$126,MATCH($A24,日常水質!$J$106:$N$106,0))),INDEX(日常水質!$J$172:$N$172,MATCH($A24,日常水質!$J$152:$N$152,0))),INDEX(日常水質!$J$218:$N$218,MATCH($A24,日常水質!$J$198:$N$198,0))),"")</f>
        <v/>
      </c>
      <c r="P24" s="1161">
        <f>IFERROR(IFERROR(IFERROR(IFERROR(IFERROR(INDEX(日常水質!$J$32:$N$32,MATCH($A24,日常水質!$J$14:$N$14,0)),INDEX(日常水質!$J$78:$N$78,MATCH($A24,日常水質!$J$60:$N$60,0))),INDEX(日常水質!$J$124:$N$124,MATCH($A24,日常水質!$J$106:$N$106,0))),INDEX(日常水質!$J$170:$N$170,MATCH($A24,日常水質!$J$152:$N$152,0))),INDEX(日常水質!$J$216:$N$216,MATCH($A24,日常水質!$J$198:$N$198,0))),"")</f>
        <v/>
      </c>
      <c r="Q24" s="1162">
        <f>IFERROR(IFERROR(IFERROR(IFERROR(IFERROR(INDEX(日常水質!$J$36:$N$36,MATCH($A24,日常水質!$J$14:$N$14,0)),INDEX(日常水質!$J$82:$N$82,MATCH($A24,日常水質!$J$60:$N$60,0))),INDEX(日常水質!$J$128:$N$128,MATCH($A24,日常水質!$J$106:$N$106,0))),INDEX(日常水質!$J$174:$N$174,MATCH($A24,日常水質!$J$152:$N$152,0))),INDEX(日常水質!$J$220:$N$220,MATCH($A24,日常水質!$J$198:$N$198,0))),"")</f>
        <v/>
      </c>
    </row>
    <row r="25" ht="13.5" customHeight="1" s="614">
      <c r="A25" s="1145">
        <f>IF(ISNUMBER(A24),IF(MONTH(A24+1)=MONTH($A$8),A24+1,""),"")</f>
        <v/>
      </c>
      <c r="B25" s="1146">
        <f>IF(ISNUMBER(A25),A25,"")</f>
        <v/>
      </c>
      <c r="C25" s="1166">
        <f>IFERROR(IFERROR(IFERROR(IFERROR(IFERROR(INDEX(日常水質!$J$16:$N$16,MATCH($A25,日常水質!$J$14:$N$14,0)),INDEX(日常水質!$J$62:$N$62,MATCH($A25,日常水質!$J$60:$N$60,0))),INDEX(日常水質!$J$108:$N$108,MATCH($A25,日常水質!$J$106:$N$106,0))),INDEX(日常水質!$J$154:$N$154,MATCH($A25,日常水質!$J$152:$N$152,0))),INDEX(日常水質!$J$200:$N$200,MATCH($A25,日常水質!$J$198:$N$198,0))),"")</f>
        <v/>
      </c>
      <c r="D25" s="1163">
        <f>IFERROR(IFERROR(IFERROR(IFERROR(IFERROR(INDEX(日常水質!$J$17:$N$17,MATCH($A25,日常水質!$J$14:$N$14,0)),INDEX(日常水質!$J$63:$N$63,MATCH($A25,日常水質!$J$60:$N$60,0))),INDEX(日常水質!$J$109:$N$109,MATCH($A25,日常水質!$J$106:$N$106,0))),INDEX(日常水質!$J$155:$N$155,MATCH($A25,日常水質!$J$152:$N$152,0))),INDEX(日常水質!$J$201:$N$201,MATCH($A25,日常水質!$J$198:$N$198,0))),"")</f>
        <v/>
      </c>
      <c r="E25" s="1163" t="n"/>
      <c r="F25" s="1180">
        <f>IFERROR(IFERROR(IFERROR(IFERROR(IFERROR(INDEX(日常水質!$J$18:$N$18,MATCH($A25,日常水質!$J$14:$N$14,0)),INDEX(日常水質!$J$64:$N$64,MATCH($A25,日常水質!$J$60:$N$60,0))),INDEX(日常水質!$J$110:$N$110,MATCH($A25,日常水質!$J$106:$N$106,0))),INDEX(日常水質!$J$156:$N$156,MATCH($A25,日常水質!$J$152:$N$152,0))),INDEX(日常水質!$J$202:$N$202,MATCH($A25,日常水質!$J$198:$N$198,0))),"")</f>
        <v/>
      </c>
      <c r="G25" s="1158">
        <f>IFERROR(IFERROR(IFERROR(IFERROR(IFERROR(INDEX(日常水質!$J$27:$N$27,MATCH($A25,日常水質!$J$14:$N$14,0)),INDEX(日常水質!$J$73:$N$73,MATCH($A25,日常水質!$J$60:$N$60,0))),INDEX(日常水質!$J$119:$N$119,MATCH($A25,日常水質!$J$106:$N$106,0))),INDEX(日常水質!$J$165:$N$165,MATCH($A25,日常水質!$J$152:$N$152,0))),INDEX(日常水質!$J$211:$N$211,MATCH($A25,日常水質!$J$198:$N$198,0))),"")</f>
        <v/>
      </c>
      <c r="H25" s="1172">
        <f>IFERROR(IFERROR(IFERROR(IFERROR(IFERROR(INDEX(日常水質!$J$28:$N$28,MATCH($A25,日常水質!$J$14:$N$14,0)),INDEX(日常水質!$J$74:$N$74,MATCH($A25,日常水質!$J$60:$N$60,0))),INDEX(日常水質!$J$120:$N$120,MATCH($A25,日常水質!$J$106:$N$106,0))),INDEX(日常水質!$J$166:$N$166,MATCH($A25,日常水質!$J$152:$N$152,0))),INDEX(日常水質!$J$212:$N$212,MATCH($A25,日常水質!$J$198:$N$198,0))),"")</f>
        <v/>
      </c>
      <c r="I25" s="1172" t="n"/>
      <c r="J25" s="1160">
        <f>IFERROR(IFERROR(IFERROR(IFERROR(IFERROR(INDEX(日常水質!$J$29:$N$29,MATCH($A25,日常水質!$J$14:$N$14,0)),INDEX(日常水質!$J$75:$N$75,MATCH($A25,日常水質!$J$60:$N$60,0))),INDEX(日常水質!$J$121:$N$121,MATCH($A25,日常水質!$J$106:$N$106,0))),INDEX(日常水質!$J$167:$N$167,MATCH($A25,日常水質!$J$152:$N$152,0))),INDEX(日常水質!$J$213:$N$213,MATCH($A25,日常水質!$J$198:$N$198,0))),"")</f>
        <v/>
      </c>
      <c r="K25" s="1168">
        <f>IFERROR(IFERROR(IFERROR(IFERROR(IFERROR(INDEX(日常水質!$J$22:$N$22,MATCH($A25,日常水質!$J$14:$N$14,0)),INDEX(日常水質!$J$68:$N$68,MATCH($A25,日常水質!$J$60:$N$60,0))),INDEX(日常水質!$J$114:$N$114,MATCH($A25,日常水質!$J$106:$N$106,0))),INDEX(日常水質!$J$160:$N$160,MATCH($A25,日常水質!$J$152:$N$152,0))),INDEX(日常水質!$J$206:$N$206,MATCH($A25,日常水質!$J$198:$N$198,0))),"")</f>
        <v/>
      </c>
      <c r="L25" s="690" t="n"/>
      <c r="M25" s="1152">
        <f>IFERROR(IFERROR(IFERROR(IFERROR(IFERROR(INDEX(日常水質!$J$23:$N$23,MATCH($A25,日常水質!$J$14:$N$14,0)),INDEX(日常水質!$J$69:$N$69,MATCH($A25,日常水質!$J$60:$N$60,0))),INDEX(日常水質!$J$115:$N$115,MATCH($A25,日常水質!$J$106:$N$106,0))),INDEX(日常水質!$J$161:$N$161,MATCH($A25,日常水質!$J$152:$N$152,0))),INDEX(日常水質!$J$207:$N$207,MATCH($A25,日常水質!$J$198:$N$198,0))),"")</f>
        <v/>
      </c>
      <c r="N25" s="1177" t="n"/>
      <c r="O25" s="1161">
        <f>IFERROR(IFERROR(IFERROR(IFERROR(IFERROR(INDEX(日常水質!$J$34:$N$34,MATCH($A25,日常水質!$J$14:$N$14,0)),INDEX(日常水質!$J$80:$N$80,MATCH($A25,日常水質!$J$60:$N$60,0))),INDEX(日常水質!$J$126:$N$126,MATCH($A25,日常水質!$J$106:$N$106,0))),INDEX(日常水質!$J$172:$N$172,MATCH($A25,日常水質!$J$152:$N$152,0))),INDEX(日常水質!$J$218:$N$218,MATCH($A25,日常水質!$J$198:$N$198,0))),"")</f>
        <v/>
      </c>
      <c r="P25" s="1161">
        <f>IFERROR(IFERROR(IFERROR(IFERROR(IFERROR(INDEX(日常水質!$J$32:$N$32,MATCH($A25,日常水質!$J$14:$N$14,0)),INDEX(日常水質!$J$78:$N$78,MATCH($A25,日常水質!$J$60:$N$60,0))),INDEX(日常水質!$J$124:$N$124,MATCH($A25,日常水質!$J$106:$N$106,0))),INDEX(日常水質!$J$170:$N$170,MATCH($A25,日常水質!$J$152:$N$152,0))),INDEX(日常水質!$J$216:$N$216,MATCH($A25,日常水質!$J$198:$N$198,0))),"")</f>
        <v/>
      </c>
      <c r="Q25" s="1162">
        <f>IFERROR(IFERROR(IFERROR(IFERROR(IFERROR(INDEX(日常水質!$J$36:$N$36,MATCH($A25,日常水質!$J$14:$N$14,0)),INDEX(日常水質!$J$82:$N$82,MATCH($A25,日常水質!$J$60:$N$60,0))),INDEX(日常水質!$J$128:$N$128,MATCH($A25,日常水質!$J$106:$N$106,0))),INDEX(日常水質!$J$174:$N$174,MATCH($A25,日常水質!$J$152:$N$152,0))),INDEX(日常水質!$J$220:$N$220,MATCH($A25,日常水質!$J$198:$N$198,0))),"")</f>
        <v/>
      </c>
    </row>
    <row r="26" ht="13.5" customHeight="1" s="614">
      <c r="A26" s="1145">
        <f>IF(ISNUMBER(A25),IF(MONTH(A25+1)=MONTH($A$8),A25+1,""),"")</f>
        <v/>
      </c>
      <c r="B26" s="1146">
        <f>IF(ISNUMBER(A26),A26,"")</f>
        <v/>
      </c>
      <c r="C26" s="1166">
        <f>IFERROR(IFERROR(IFERROR(IFERROR(IFERROR(INDEX(日常水質!$J$16:$N$16,MATCH($A26,日常水質!$J$14:$N$14,0)),INDEX(日常水質!$J$62:$N$62,MATCH($A26,日常水質!$J$60:$N$60,0))),INDEX(日常水質!$J$108:$N$108,MATCH($A26,日常水質!$J$106:$N$106,0))),INDEX(日常水質!$J$154:$N$154,MATCH($A26,日常水質!$J$152:$N$152,0))),INDEX(日常水質!$J$200:$N$200,MATCH($A26,日常水質!$J$198:$N$198,0))),"")</f>
        <v/>
      </c>
      <c r="D26" s="1163">
        <f>IFERROR(IFERROR(IFERROR(IFERROR(IFERROR(INDEX(日常水質!$J$17:$N$17,MATCH($A26,日常水質!$J$14:$N$14,0)),INDEX(日常水質!$J$63:$N$63,MATCH($A26,日常水質!$J$60:$N$60,0))),INDEX(日常水質!$J$109:$N$109,MATCH($A26,日常水質!$J$106:$N$106,0))),INDEX(日常水質!$J$155:$N$155,MATCH($A26,日常水質!$J$152:$N$152,0))),INDEX(日常水質!$J$201:$N$201,MATCH($A26,日常水質!$J$198:$N$198,0))),"")</f>
        <v/>
      </c>
      <c r="E26" s="1163" t="n"/>
      <c r="F26" s="1181">
        <f>IFERROR(IFERROR(IFERROR(IFERROR(IFERROR(INDEX(日常水質!$J$18:$N$18,MATCH($A26,日常水質!$J$14:$N$14,0)),INDEX(日常水質!$J$64:$N$64,MATCH($A26,日常水質!$J$60:$N$60,0))),INDEX(日常水質!$J$110:$N$110,MATCH($A26,日常水質!$J$106:$N$106,0))),INDEX(日常水質!$J$156:$N$156,MATCH($A26,日常水質!$J$152:$N$152,0))),INDEX(日常水質!$J$202:$N$202,MATCH($A26,日常水質!$J$198:$N$198,0))),"")</f>
        <v/>
      </c>
      <c r="G26" s="1158">
        <f>IFERROR(IFERROR(IFERROR(IFERROR(IFERROR(INDEX(日常水質!$J$27:$N$27,MATCH($A26,日常水質!$J$14:$N$14,0)),INDEX(日常水質!$J$73:$N$73,MATCH($A26,日常水質!$J$60:$N$60,0))),INDEX(日常水質!$J$119:$N$119,MATCH($A26,日常水質!$J$106:$N$106,0))),INDEX(日常水質!$J$165:$N$165,MATCH($A26,日常水質!$J$152:$N$152,0))),INDEX(日常水質!$J$211:$N$211,MATCH($A26,日常水質!$J$198:$N$198,0))),"")</f>
        <v/>
      </c>
      <c r="H26" s="1172">
        <f>IFERROR(IFERROR(IFERROR(IFERROR(IFERROR(INDEX(日常水質!$J$28:$N$28,MATCH($A26,日常水質!$J$14:$N$14,0)),INDEX(日常水質!$J$74:$N$74,MATCH($A26,日常水質!$J$60:$N$60,0))),INDEX(日常水質!$J$120:$N$120,MATCH($A26,日常水質!$J$106:$N$106,0))),INDEX(日常水質!$J$166:$N$166,MATCH($A26,日常水質!$J$152:$N$152,0))),INDEX(日常水質!$J$212:$N$212,MATCH($A26,日常水質!$J$198:$N$198,0))),"")</f>
        <v/>
      </c>
      <c r="I26" s="1172" t="n"/>
      <c r="J26" s="1160">
        <f>IFERROR(IFERROR(IFERROR(IFERROR(IFERROR(INDEX(日常水質!$J$29:$N$29,MATCH($A26,日常水質!$J$14:$N$14,0)),INDEX(日常水質!$J$75:$N$75,MATCH($A26,日常水質!$J$60:$N$60,0))),INDEX(日常水質!$J$121:$N$121,MATCH($A26,日常水質!$J$106:$N$106,0))),INDEX(日常水質!$J$167:$N$167,MATCH($A26,日常水質!$J$152:$N$152,0))),INDEX(日常水質!$J$213:$N$213,MATCH($A26,日常水質!$J$198:$N$198,0))),"")</f>
        <v/>
      </c>
      <c r="K26" s="1176">
        <f>IFERROR(IFERROR(IFERROR(IFERROR(IFERROR(INDEX(日常水質!$J$22:$N$22,MATCH($A26,日常水質!$J$14:$N$14,0)),INDEX(日常水質!$J$68:$N$68,MATCH($A26,日常水質!$J$60:$N$60,0))),INDEX(日常水質!$J$114:$N$114,MATCH($A26,日常水質!$J$106:$N$106,0))),INDEX(日常水質!$J$160:$N$160,MATCH($A26,日常水質!$J$152:$N$152,0))),INDEX(日常水質!$J$206:$N$206,MATCH($A26,日常水質!$J$198:$N$198,0))),"")</f>
        <v/>
      </c>
      <c r="L26" s="690" t="n"/>
      <c r="M26" s="1152">
        <f>IFERROR(IFERROR(IFERROR(IFERROR(IFERROR(INDEX(日常水質!$J$23:$N$23,MATCH($A26,日常水質!$J$14:$N$14,0)),INDEX(日常水質!$J$69:$N$69,MATCH($A26,日常水質!$J$60:$N$60,0))),INDEX(日常水質!$J$115:$N$115,MATCH($A26,日常水質!$J$106:$N$106,0))),INDEX(日常水質!$J$161:$N$161,MATCH($A26,日常水質!$J$152:$N$152,0))),INDEX(日常水質!$J$207:$N$207,MATCH($A26,日常水質!$J$198:$N$198,0))),"")</f>
        <v/>
      </c>
      <c r="N26" s="1177" t="n"/>
      <c r="O26" s="1161">
        <f>IFERROR(IFERROR(IFERROR(IFERROR(IFERROR(INDEX(日常水質!$J$34:$N$34,MATCH($A26,日常水質!$J$14:$N$14,0)),INDEX(日常水質!$J$80:$N$80,MATCH($A26,日常水質!$J$60:$N$60,0))),INDEX(日常水質!$J$126:$N$126,MATCH($A26,日常水質!$J$106:$N$106,0))),INDEX(日常水質!$J$172:$N$172,MATCH($A26,日常水質!$J$152:$N$152,0))),INDEX(日常水質!$J$218:$N$218,MATCH($A26,日常水質!$J$198:$N$198,0))),"")</f>
        <v/>
      </c>
      <c r="P26" s="1161">
        <f>IFERROR(IFERROR(IFERROR(IFERROR(IFERROR(INDEX(日常水質!$J$32:$N$32,MATCH($A26,日常水質!$J$14:$N$14,0)),INDEX(日常水質!$J$78:$N$78,MATCH($A26,日常水質!$J$60:$N$60,0))),INDEX(日常水質!$J$124:$N$124,MATCH($A26,日常水質!$J$106:$N$106,0))),INDEX(日常水質!$J$170:$N$170,MATCH($A26,日常水質!$J$152:$N$152,0))),INDEX(日常水質!$J$216:$N$216,MATCH($A26,日常水質!$J$198:$N$198,0))),"")</f>
        <v/>
      </c>
      <c r="Q26" s="1162">
        <f>IFERROR(IFERROR(IFERROR(IFERROR(IFERROR(INDEX(日常水質!$J$36:$N$36,MATCH($A26,日常水質!$J$14:$N$14,0)),INDEX(日常水質!$J$82:$N$82,MATCH($A26,日常水質!$J$60:$N$60,0))),INDEX(日常水質!$J$128:$N$128,MATCH($A26,日常水質!$J$106:$N$106,0))),INDEX(日常水質!$J$174:$N$174,MATCH($A26,日常水質!$J$152:$N$152,0))),INDEX(日常水質!$J$220:$N$220,MATCH($A26,日常水質!$J$198:$N$198,0))),"")</f>
        <v/>
      </c>
    </row>
    <row r="27" ht="13.5" customHeight="1" s="614">
      <c r="A27" s="1145">
        <f>IF(ISNUMBER(A26),IF(MONTH(A26+1)=MONTH($A$8),A26+1,""),"")</f>
        <v/>
      </c>
      <c r="B27" s="1146">
        <f>IF(ISNUMBER(A27),A27,"")</f>
        <v/>
      </c>
      <c r="C27" s="1166">
        <f>IFERROR(IFERROR(IFERROR(IFERROR(IFERROR(INDEX(日常水質!$J$16:$N$16,MATCH($A27,日常水質!$J$14:$N$14,0)),INDEX(日常水質!$J$62:$N$62,MATCH($A27,日常水質!$J$60:$N$60,0))),INDEX(日常水質!$J$108:$N$108,MATCH($A27,日常水質!$J$106:$N$106,0))),INDEX(日常水質!$J$154:$N$154,MATCH($A27,日常水質!$J$152:$N$152,0))),INDEX(日常水質!$J$200:$N$200,MATCH($A27,日常水質!$J$198:$N$198,0))),"")</f>
        <v/>
      </c>
      <c r="D27" s="1163">
        <f>IFERROR(IFERROR(IFERROR(IFERROR(IFERROR(INDEX(日常水質!$J$17:$N$17,MATCH($A27,日常水質!$J$14:$N$14,0)),INDEX(日常水質!$J$63:$N$63,MATCH($A27,日常水質!$J$60:$N$60,0))),INDEX(日常水質!$J$109:$N$109,MATCH($A27,日常水質!$J$106:$N$106,0))),INDEX(日常水質!$J$155:$N$155,MATCH($A27,日常水質!$J$152:$N$152,0))),INDEX(日常水質!$J$201:$N$201,MATCH($A27,日常水質!$J$198:$N$198,0))),"")</f>
        <v/>
      </c>
      <c r="E27" s="1163" t="n"/>
      <c r="F27" s="1057">
        <f>IFERROR(IFERROR(IFERROR(IFERROR(IFERROR(INDEX(日常水質!$J$18:$N$18,MATCH($A27,日常水質!$J$14:$N$14,0)),INDEX(日常水質!$J$64:$N$64,MATCH($A27,日常水質!$J$60:$N$60,0))),INDEX(日常水質!$J$110:$N$110,MATCH($A27,日常水質!$J$106:$N$106,0))),INDEX(日常水質!$J$156:$N$156,MATCH($A27,日常水質!$J$152:$N$152,0))),INDEX(日常水質!$J$202:$N$202,MATCH($A27,日常水質!$J$198:$N$198,0))),"")</f>
        <v/>
      </c>
      <c r="G27" s="1158">
        <f>IFERROR(IFERROR(IFERROR(IFERROR(IFERROR(INDEX(日常水質!$J$27:$N$27,MATCH($A27,日常水質!$J$14:$N$14,0)),INDEX(日常水質!$J$73:$N$73,MATCH($A27,日常水質!$J$60:$N$60,0))),INDEX(日常水質!$J$119:$N$119,MATCH($A27,日常水質!$J$106:$N$106,0))),INDEX(日常水質!$J$165:$N$165,MATCH($A27,日常水質!$J$152:$N$152,0))),INDEX(日常水質!$J$211:$N$211,MATCH($A27,日常水質!$J$198:$N$198,0))),"")</f>
        <v/>
      </c>
      <c r="H27" s="1172">
        <f>IFERROR(IFERROR(IFERROR(IFERROR(IFERROR(INDEX(日常水質!$J$28:$N$28,MATCH($A27,日常水質!$J$14:$N$14,0)),INDEX(日常水質!$J$74:$N$74,MATCH($A27,日常水質!$J$60:$N$60,0))),INDEX(日常水質!$J$120:$N$120,MATCH($A27,日常水質!$J$106:$N$106,0))),INDEX(日常水質!$J$166:$N$166,MATCH($A27,日常水質!$J$152:$N$152,0))),INDEX(日常水質!$J$212:$N$212,MATCH($A27,日常水質!$J$198:$N$198,0))),"")</f>
        <v/>
      </c>
      <c r="I27" s="1172" t="n"/>
      <c r="J27" s="1160">
        <f>IFERROR(IFERROR(IFERROR(IFERROR(IFERROR(INDEX(日常水質!$J$29:$N$29,MATCH($A27,日常水質!$J$14:$N$14,0)),INDEX(日常水質!$J$75:$N$75,MATCH($A27,日常水質!$J$60:$N$60,0))),INDEX(日常水質!$J$121:$N$121,MATCH($A27,日常水質!$J$106:$N$106,0))),INDEX(日常水質!$J$167:$N$167,MATCH($A27,日常水質!$J$152:$N$152,0))),INDEX(日常水質!$J$213:$N$213,MATCH($A27,日常水質!$J$198:$N$198,0))),"")</f>
        <v/>
      </c>
      <c r="K27" s="1176">
        <f>IFERROR(IFERROR(IFERROR(IFERROR(IFERROR(INDEX(日常水質!$J$22:$N$22,MATCH($A27,日常水質!$J$14:$N$14,0)),INDEX(日常水質!$J$68:$N$68,MATCH($A27,日常水質!$J$60:$N$60,0))),INDEX(日常水質!$J$114:$N$114,MATCH($A27,日常水質!$J$106:$N$106,0))),INDEX(日常水質!$J$160:$N$160,MATCH($A27,日常水質!$J$152:$N$152,0))),INDEX(日常水質!$J$206:$N$206,MATCH($A27,日常水質!$J$198:$N$198,0))),"")</f>
        <v/>
      </c>
      <c r="L27" s="690" t="n"/>
      <c r="M27" s="1152">
        <f>IFERROR(IFERROR(IFERROR(IFERROR(IFERROR(INDEX(日常水質!$J$23:$N$23,MATCH($A27,日常水質!$J$14:$N$14,0)),INDEX(日常水質!$J$69:$N$69,MATCH($A27,日常水質!$J$60:$N$60,0))),INDEX(日常水質!$J$115:$N$115,MATCH($A27,日常水質!$J$106:$N$106,0))),INDEX(日常水質!$J$161:$N$161,MATCH($A27,日常水質!$J$152:$N$152,0))),INDEX(日常水質!$J$207:$N$207,MATCH($A27,日常水質!$J$198:$N$198,0))),"")</f>
        <v/>
      </c>
      <c r="N27" s="1177" t="n"/>
      <c r="O27" s="1161">
        <f>IFERROR(IFERROR(IFERROR(IFERROR(IFERROR(INDEX(日常水質!$J$34:$N$34,MATCH($A27,日常水質!$J$14:$N$14,0)),INDEX(日常水質!$J$80:$N$80,MATCH($A27,日常水質!$J$60:$N$60,0))),INDEX(日常水質!$J$126:$N$126,MATCH($A27,日常水質!$J$106:$N$106,0))),INDEX(日常水質!$J$172:$N$172,MATCH($A27,日常水質!$J$152:$N$152,0))),INDEX(日常水質!$J$218:$N$218,MATCH($A27,日常水質!$J$198:$N$198,0))),"")</f>
        <v/>
      </c>
      <c r="P27" s="1161">
        <f>IFERROR(IFERROR(IFERROR(IFERROR(IFERROR(INDEX(日常水質!$J$32:$N$32,MATCH($A27,日常水質!$J$14:$N$14,0)),INDEX(日常水質!$J$78:$N$78,MATCH($A27,日常水質!$J$60:$N$60,0))),INDEX(日常水質!$J$124:$N$124,MATCH($A27,日常水質!$J$106:$N$106,0))),INDEX(日常水質!$J$170:$N$170,MATCH($A27,日常水質!$J$152:$N$152,0))),INDEX(日常水質!$J$216:$N$216,MATCH($A27,日常水質!$J$198:$N$198,0))),"")</f>
        <v/>
      </c>
      <c r="Q27" s="1162">
        <f>IFERROR(IFERROR(IFERROR(IFERROR(IFERROR(INDEX(日常水質!$J$36:$N$36,MATCH($A27,日常水質!$J$14:$N$14,0)),INDEX(日常水質!$J$82:$N$82,MATCH($A27,日常水質!$J$60:$N$60,0))),INDEX(日常水質!$J$128:$N$128,MATCH($A27,日常水質!$J$106:$N$106,0))),INDEX(日常水質!$J$174:$N$174,MATCH($A27,日常水質!$J$152:$N$152,0))),INDEX(日常水質!$J$220:$N$220,MATCH($A27,日常水質!$J$198:$N$198,0))),"")</f>
        <v/>
      </c>
    </row>
    <row r="28" ht="13.5" customHeight="1" s="614">
      <c r="A28" s="1145">
        <f>IF(ISNUMBER(A27),IF(MONTH(A27+1)=MONTH($A$8),A27+1,""),"")</f>
        <v/>
      </c>
      <c r="B28" s="1146">
        <f>IF(ISNUMBER(A28),A28,"")</f>
        <v/>
      </c>
      <c r="C28" s="1166">
        <f>IFERROR(IFERROR(IFERROR(IFERROR(IFERROR(INDEX(日常水質!$J$16:$N$16,MATCH($A28,日常水質!$J$14:$N$14,0)),INDEX(日常水質!$J$62:$N$62,MATCH($A28,日常水質!$J$60:$N$60,0))),INDEX(日常水質!$J$108:$N$108,MATCH($A28,日常水質!$J$106:$N$106,0))),INDEX(日常水質!$J$154:$N$154,MATCH($A28,日常水質!$J$152:$N$152,0))),INDEX(日常水質!$J$200:$N$200,MATCH($A28,日常水質!$J$198:$N$198,0))),"")</f>
        <v/>
      </c>
      <c r="D28" s="1163">
        <f>IFERROR(IFERROR(IFERROR(IFERROR(IFERROR(INDEX(日常水質!$J$17:$N$17,MATCH($A28,日常水質!$J$14:$N$14,0)),INDEX(日常水質!$J$63:$N$63,MATCH($A28,日常水質!$J$60:$N$60,0))),INDEX(日常水質!$J$109:$N$109,MATCH($A28,日常水質!$J$106:$N$106,0))),INDEX(日常水質!$J$155:$N$155,MATCH($A28,日常水質!$J$152:$N$152,0))),INDEX(日常水質!$J$201:$N$201,MATCH($A28,日常水質!$J$198:$N$198,0))),"")</f>
        <v/>
      </c>
      <c r="E28" s="1163" t="n"/>
      <c r="F28" s="1168">
        <f>IFERROR(IFERROR(IFERROR(IFERROR(IFERROR(INDEX(日常水質!$J$18:$N$18,MATCH($A28,日常水質!$J$14:$N$14,0)),INDEX(日常水質!$J$64:$N$64,MATCH($A28,日常水質!$J$60:$N$60,0))),INDEX(日常水質!$J$110:$N$110,MATCH($A28,日常水質!$J$106:$N$106,0))),INDEX(日常水質!$J$156:$N$156,MATCH($A28,日常水質!$J$152:$N$152,0))),INDEX(日常水質!$J$202:$N$202,MATCH($A28,日常水質!$J$198:$N$198,0))),"")</f>
        <v/>
      </c>
      <c r="G28" s="1158">
        <f>IFERROR(IFERROR(IFERROR(IFERROR(IFERROR(INDEX(日常水質!$J$27:$N$27,MATCH($A28,日常水質!$J$14:$N$14,0)),INDEX(日常水質!$J$73:$N$73,MATCH($A28,日常水質!$J$60:$N$60,0))),INDEX(日常水質!$J$119:$N$119,MATCH($A28,日常水質!$J$106:$N$106,0))),INDEX(日常水質!$J$165:$N$165,MATCH($A28,日常水質!$J$152:$N$152,0))),INDEX(日常水質!$J$211:$N$211,MATCH($A28,日常水質!$J$198:$N$198,0))),"")</f>
        <v/>
      </c>
      <c r="H28" s="1172">
        <f>IFERROR(IFERROR(IFERROR(IFERROR(IFERROR(INDEX(日常水質!$J$28:$N$28,MATCH($A28,日常水質!$J$14:$N$14,0)),INDEX(日常水質!$J$74:$N$74,MATCH($A28,日常水質!$J$60:$N$60,0))),INDEX(日常水質!$J$120:$N$120,MATCH($A28,日常水質!$J$106:$N$106,0))),INDEX(日常水質!$J$166:$N$166,MATCH($A28,日常水質!$J$152:$N$152,0))),INDEX(日常水質!$J$212:$N$212,MATCH($A28,日常水質!$J$198:$N$198,0))),"")</f>
        <v/>
      </c>
      <c r="I28" s="1172" t="n"/>
      <c r="J28" s="1160">
        <f>IFERROR(IFERROR(IFERROR(IFERROR(IFERROR(INDEX(日常水質!$J$29:$N$29,MATCH($A28,日常水質!$J$14:$N$14,0)),INDEX(日常水質!$J$75:$N$75,MATCH($A28,日常水質!$J$60:$N$60,0))),INDEX(日常水質!$J$121:$N$121,MATCH($A28,日常水質!$J$106:$N$106,0))),INDEX(日常水質!$J$167:$N$167,MATCH($A28,日常水質!$J$152:$N$152,0))),INDEX(日常水質!$J$213:$N$213,MATCH($A28,日常水質!$J$198:$N$198,0))),"")</f>
        <v/>
      </c>
      <c r="K28" s="1176">
        <f>IFERROR(IFERROR(IFERROR(IFERROR(IFERROR(INDEX(日常水質!$J$22:$N$22,MATCH($A28,日常水質!$J$14:$N$14,0)),INDEX(日常水質!$J$68:$N$68,MATCH($A28,日常水質!$J$60:$N$60,0))),INDEX(日常水質!$J$114:$N$114,MATCH($A28,日常水質!$J$106:$N$106,0))),INDEX(日常水質!$J$160:$N$160,MATCH($A28,日常水質!$J$152:$N$152,0))),INDEX(日常水質!$J$206:$N$206,MATCH($A28,日常水質!$J$198:$N$198,0))),"")</f>
        <v/>
      </c>
      <c r="L28" s="690" t="n"/>
      <c r="M28" s="1152">
        <f>IFERROR(IFERROR(IFERROR(IFERROR(IFERROR(INDEX(日常水質!$J$23:$N$23,MATCH($A28,日常水質!$J$14:$N$14,0)),INDEX(日常水質!$J$69:$N$69,MATCH($A28,日常水質!$J$60:$N$60,0))),INDEX(日常水質!$J$115:$N$115,MATCH($A28,日常水質!$J$106:$N$106,0))),INDEX(日常水質!$J$161:$N$161,MATCH($A28,日常水質!$J$152:$N$152,0))),INDEX(日常水質!$J$207:$N$207,MATCH($A28,日常水質!$J$198:$N$198,0))),"")</f>
        <v/>
      </c>
      <c r="N28" s="1177" t="n"/>
      <c r="O28" s="1161">
        <f>IFERROR(IFERROR(IFERROR(IFERROR(IFERROR(INDEX(日常水質!$J$34:$N$34,MATCH($A28,日常水質!$J$14:$N$14,0)),INDEX(日常水質!$J$80:$N$80,MATCH($A28,日常水質!$J$60:$N$60,0))),INDEX(日常水質!$J$126:$N$126,MATCH($A28,日常水質!$J$106:$N$106,0))),INDEX(日常水質!$J$172:$N$172,MATCH($A28,日常水質!$J$152:$N$152,0))),INDEX(日常水質!$J$218:$N$218,MATCH($A28,日常水質!$J$198:$N$198,0))),"")</f>
        <v/>
      </c>
      <c r="P28" s="1161">
        <f>IFERROR(IFERROR(IFERROR(IFERROR(IFERROR(INDEX(日常水質!$J$32:$N$32,MATCH($A28,日常水質!$J$14:$N$14,0)),INDEX(日常水質!$J$78:$N$78,MATCH($A28,日常水質!$J$60:$N$60,0))),INDEX(日常水質!$J$124:$N$124,MATCH($A28,日常水質!$J$106:$N$106,0))),INDEX(日常水質!$J$170:$N$170,MATCH($A28,日常水質!$J$152:$N$152,0))),INDEX(日常水質!$J$216:$N$216,MATCH($A28,日常水質!$J$198:$N$198,0))),"")</f>
        <v/>
      </c>
      <c r="Q28" s="1162">
        <f>IFERROR(IFERROR(IFERROR(IFERROR(IFERROR(INDEX(日常水質!$J$36:$N$36,MATCH($A28,日常水質!$J$14:$N$14,0)),INDEX(日常水質!$J$82:$N$82,MATCH($A28,日常水質!$J$60:$N$60,0))),INDEX(日常水質!$J$128:$N$128,MATCH($A28,日常水質!$J$106:$N$106,0))),INDEX(日常水質!$J$174:$N$174,MATCH($A28,日常水質!$J$152:$N$152,0))),INDEX(日常水質!$J$220:$N$220,MATCH($A28,日常水質!$J$198:$N$198,0))),"")</f>
        <v/>
      </c>
    </row>
    <row r="29" ht="13.5" customHeight="1" s="614">
      <c r="A29" s="1145">
        <f>IF(ISNUMBER(A28),IF(MONTH(A28+1)=MONTH($A$8),A28+1,""),"")</f>
        <v/>
      </c>
      <c r="B29" s="1146">
        <f>IF(ISNUMBER(A29),A29,"")</f>
        <v/>
      </c>
      <c r="C29" s="1166">
        <f>IFERROR(IFERROR(IFERROR(IFERROR(IFERROR(INDEX(日常水質!$J$16:$N$16,MATCH($A29,日常水質!$J$14:$N$14,0)),INDEX(日常水質!$J$62:$N$62,MATCH($A29,日常水質!$J$60:$N$60,0))),INDEX(日常水質!$J$108:$N$108,MATCH($A29,日常水質!$J$106:$N$106,0))),INDEX(日常水質!$J$154:$N$154,MATCH($A29,日常水質!$J$152:$N$152,0))),INDEX(日常水質!$J$200:$N$200,MATCH($A29,日常水質!$J$198:$N$198,0))),"")</f>
        <v/>
      </c>
      <c r="D29" s="1163">
        <f>IFERROR(IFERROR(IFERROR(IFERROR(IFERROR(INDEX(日常水質!$J$17:$N$17,MATCH($A29,日常水質!$J$14:$N$14,0)),INDEX(日常水質!$J$63:$N$63,MATCH($A29,日常水質!$J$60:$N$60,0))),INDEX(日常水質!$J$109:$N$109,MATCH($A29,日常水質!$J$106:$N$106,0))),INDEX(日常水質!$J$155:$N$155,MATCH($A29,日常水質!$J$152:$N$152,0))),INDEX(日常水質!$J$201:$N$201,MATCH($A29,日常水質!$J$198:$N$198,0))),"")</f>
        <v/>
      </c>
      <c r="E29" s="1163" t="n"/>
      <c r="F29" s="1168">
        <f>IFERROR(IFERROR(IFERROR(IFERROR(IFERROR(INDEX(日常水質!$J$18:$N$18,MATCH($A29,日常水質!$J$14:$N$14,0)),INDEX(日常水質!$J$64:$N$64,MATCH($A29,日常水質!$J$60:$N$60,0))),INDEX(日常水質!$J$110:$N$110,MATCH($A29,日常水質!$J$106:$N$106,0))),INDEX(日常水質!$J$156:$N$156,MATCH($A29,日常水質!$J$152:$N$152,0))),INDEX(日常水質!$J$202:$N$202,MATCH($A29,日常水質!$J$198:$N$198,0))),"")</f>
        <v/>
      </c>
      <c r="G29" s="1158">
        <f>IFERROR(IFERROR(IFERROR(IFERROR(IFERROR(INDEX(日常水質!$J$27:$N$27,MATCH($A29,日常水質!$J$14:$N$14,0)),INDEX(日常水質!$J$73:$N$73,MATCH($A29,日常水質!$J$60:$N$60,0))),INDEX(日常水質!$J$119:$N$119,MATCH($A29,日常水質!$J$106:$N$106,0))),INDEX(日常水質!$J$165:$N$165,MATCH($A29,日常水質!$J$152:$N$152,0))),INDEX(日常水質!$J$211:$N$211,MATCH($A29,日常水質!$J$198:$N$198,0))),"")</f>
        <v/>
      </c>
      <c r="H29" s="1172">
        <f>IFERROR(IFERROR(IFERROR(IFERROR(IFERROR(INDEX(日常水質!$J$28:$N$28,MATCH($A29,日常水質!$J$14:$N$14,0)),INDEX(日常水質!$J$74:$N$74,MATCH($A29,日常水質!$J$60:$N$60,0))),INDEX(日常水質!$J$120:$N$120,MATCH($A29,日常水質!$J$106:$N$106,0))),INDEX(日常水質!$J$166:$N$166,MATCH($A29,日常水質!$J$152:$N$152,0))),INDEX(日常水質!$J$212:$N$212,MATCH($A29,日常水質!$J$198:$N$198,0))),"")</f>
        <v/>
      </c>
      <c r="I29" s="1172" t="n"/>
      <c r="J29" s="1160">
        <f>IFERROR(IFERROR(IFERROR(IFERROR(IFERROR(INDEX(日常水質!$J$29:$N$29,MATCH($A29,日常水質!$J$14:$N$14,0)),INDEX(日常水質!$J$75:$N$75,MATCH($A29,日常水質!$J$60:$N$60,0))),INDEX(日常水質!$J$121:$N$121,MATCH($A29,日常水質!$J$106:$N$106,0))),INDEX(日常水質!$J$167:$N$167,MATCH($A29,日常水質!$J$152:$N$152,0))),INDEX(日常水質!$J$213:$N$213,MATCH($A29,日常水質!$J$198:$N$198,0))),"")</f>
        <v/>
      </c>
      <c r="K29" s="1176">
        <f>IFERROR(IFERROR(IFERROR(IFERROR(IFERROR(INDEX(日常水質!$J$22:$N$22,MATCH($A29,日常水質!$J$14:$N$14,0)),INDEX(日常水質!$J$68:$N$68,MATCH($A29,日常水質!$J$60:$N$60,0))),INDEX(日常水質!$J$114:$N$114,MATCH($A29,日常水質!$J$106:$N$106,0))),INDEX(日常水質!$J$160:$N$160,MATCH($A29,日常水質!$J$152:$N$152,0))),INDEX(日常水質!$J$206:$N$206,MATCH($A29,日常水質!$J$198:$N$198,0))),"")</f>
        <v/>
      </c>
      <c r="L29" s="690" t="n"/>
      <c r="M29" s="1152">
        <f>IFERROR(IFERROR(IFERROR(IFERROR(IFERROR(INDEX(日常水質!$J$23:$N$23,MATCH($A29,日常水質!$J$14:$N$14,0)),INDEX(日常水質!$J$69:$N$69,MATCH($A29,日常水質!$J$60:$N$60,0))),INDEX(日常水質!$J$115:$N$115,MATCH($A29,日常水質!$J$106:$N$106,0))),INDEX(日常水質!$J$161:$N$161,MATCH($A29,日常水質!$J$152:$N$152,0))),INDEX(日常水質!$J$207:$N$207,MATCH($A29,日常水質!$J$198:$N$198,0))),"")</f>
        <v/>
      </c>
      <c r="N29" s="1177" t="n"/>
      <c r="O29" s="1161">
        <f>IFERROR(IFERROR(IFERROR(IFERROR(IFERROR(INDEX(日常水質!$J$34:$N$34,MATCH($A29,日常水質!$J$14:$N$14,0)),INDEX(日常水質!$J$80:$N$80,MATCH($A29,日常水質!$J$60:$N$60,0))),INDEX(日常水質!$J$126:$N$126,MATCH($A29,日常水質!$J$106:$N$106,0))),INDEX(日常水質!$J$172:$N$172,MATCH($A29,日常水質!$J$152:$N$152,0))),INDEX(日常水質!$J$218:$N$218,MATCH($A29,日常水質!$J$198:$N$198,0))),"")</f>
        <v/>
      </c>
      <c r="P29" s="1161">
        <f>IFERROR(IFERROR(IFERROR(IFERROR(IFERROR(INDEX(日常水質!$J$32:$N$32,MATCH($A29,日常水質!$J$14:$N$14,0)),INDEX(日常水質!$J$78:$N$78,MATCH($A29,日常水質!$J$60:$N$60,0))),INDEX(日常水質!$J$124:$N$124,MATCH($A29,日常水質!$J$106:$N$106,0))),INDEX(日常水質!$J$170:$N$170,MATCH($A29,日常水質!$J$152:$N$152,0))),INDEX(日常水質!$J$216:$N$216,MATCH($A29,日常水質!$J$198:$N$198,0))),"")</f>
        <v/>
      </c>
      <c r="Q29" s="1162">
        <f>IFERROR(IFERROR(IFERROR(IFERROR(IFERROR(INDEX(日常水質!$J$36:$N$36,MATCH($A29,日常水質!$J$14:$N$14,0)),INDEX(日常水質!$J$82:$N$82,MATCH($A29,日常水質!$J$60:$N$60,0))),INDEX(日常水質!$J$128:$N$128,MATCH($A29,日常水質!$J$106:$N$106,0))),INDEX(日常水質!$J$174:$N$174,MATCH($A29,日常水質!$J$152:$N$152,0))),INDEX(日常水質!$J$220:$N$220,MATCH($A29,日常水質!$J$198:$N$198,0))),"")</f>
        <v/>
      </c>
    </row>
    <row r="30" ht="13.5" customHeight="1" s="614">
      <c r="A30" s="1145">
        <f>IF(ISNUMBER(A29),IF(MONTH(A29+1)=MONTH($A$8),A29+1,""),"")</f>
        <v/>
      </c>
      <c r="B30" s="1146">
        <f>IF(ISNUMBER(A30),A30,"")</f>
        <v/>
      </c>
      <c r="C30" s="1166">
        <f>IFERROR(IFERROR(IFERROR(IFERROR(IFERROR(INDEX(日常水質!$J$16:$N$16,MATCH($A30,日常水質!$J$14:$N$14,0)),INDEX(日常水質!$J$62:$N$62,MATCH($A30,日常水質!$J$60:$N$60,0))),INDEX(日常水質!$J$108:$N$108,MATCH($A30,日常水質!$J$106:$N$106,0))),INDEX(日常水質!$J$154:$N$154,MATCH($A30,日常水質!$J$152:$N$152,0))),INDEX(日常水質!$J$200:$N$200,MATCH($A30,日常水質!$J$198:$N$198,0))),"")</f>
        <v/>
      </c>
      <c r="D30" s="1163">
        <f>IFERROR(IFERROR(IFERROR(IFERROR(IFERROR(INDEX(日常水質!$J$17:$N$17,MATCH($A30,日常水質!$J$14:$N$14,0)),INDEX(日常水質!$J$63:$N$63,MATCH($A30,日常水質!$J$60:$N$60,0))),INDEX(日常水質!$J$109:$N$109,MATCH($A30,日常水質!$J$106:$N$106,0))),INDEX(日常水質!$J$155:$N$155,MATCH($A30,日常水質!$J$152:$N$152,0))),INDEX(日常水質!$J$201:$N$201,MATCH($A30,日常水質!$J$198:$N$198,0))),"")</f>
        <v/>
      </c>
      <c r="E30" s="1163" t="n"/>
      <c r="F30" s="1180">
        <f>IFERROR(IFERROR(IFERROR(IFERROR(IFERROR(INDEX(日常水質!$J$18:$N$18,MATCH($A30,日常水質!$J$14:$N$14,0)),INDEX(日常水質!$J$64:$N$64,MATCH($A30,日常水質!$J$60:$N$60,0))),INDEX(日常水質!$J$110:$N$110,MATCH($A30,日常水質!$J$106:$N$106,0))),INDEX(日常水質!$J$156:$N$156,MATCH($A30,日常水質!$J$152:$N$152,0))),INDEX(日常水質!$J$202:$N$202,MATCH($A30,日常水質!$J$198:$N$198,0))),"")</f>
        <v/>
      </c>
      <c r="G30" s="1158">
        <f>IFERROR(IFERROR(IFERROR(IFERROR(IFERROR(INDEX(日常水質!$J$27:$N$27,MATCH($A30,日常水質!$J$14:$N$14,0)),INDEX(日常水質!$J$73:$N$73,MATCH($A30,日常水質!$J$60:$N$60,0))),INDEX(日常水質!$J$119:$N$119,MATCH($A30,日常水質!$J$106:$N$106,0))),INDEX(日常水質!$J$165:$N$165,MATCH($A30,日常水質!$J$152:$N$152,0))),INDEX(日常水質!$J$211:$N$211,MATCH($A30,日常水質!$J$198:$N$198,0))),"")</f>
        <v/>
      </c>
      <c r="H30" s="1172">
        <f>IFERROR(IFERROR(IFERROR(IFERROR(IFERROR(INDEX(日常水質!$J$28:$N$28,MATCH($A30,日常水質!$J$14:$N$14,0)),INDEX(日常水質!$J$74:$N$74,MATCH($A30,日常水質!$J$60:$N$60,0))),INDEX(日常水質!$J$120:$N$120,MATCH($A30,日常水質!$J$106:$N$106,0))),INDEX(日常水質!$J$166:$N$166,MATCH($A30,日常水質!$J$152:$N$152,0))),INDEX(日常水質!$J$212:$N$212,MATCH($A30,日常水質!$J$198:$N$198,0))),"")</f>
        <v/>
      </c>
      <c r="I30" s="1172" t="n"/>
      <c r="J30" s="1160">
        <f>IFERROR(IFERROR(IFERROR(IFERROR(IFERROR(INDEX(日常水質!$J$29:$N$29,MATCH($A30,日常水質!$J$14:$N$14,0)),INDEX(日常水質!$J$75:$N$75,MATCH($A30,日常水質!$J$60:$N$60,0))),INDEX(日常水質!$J$121:$N$121,MATCH($A30,日常水質!$J$106:$N$106,0))),INDEX(日常水質!$J$167:$N$167,MATCH($A30,日常水質!$J$152:$N$152,0))),INDEX(日常水質!$J$213:$N$213,MATCH($A30,日常水質!$J$198:$N$198,0))),"")</f>
        <v/>
      </c>
      <c r="K30" s="1151">
        <f>IFERROR(IFERROR(IFERROR(IFERROR(IFERROR(INDEX(日常水質!$J$22:$N$22,MATCH($A30,日常水質!$J$14:$N$14,0)),INDEX(日常水質!$J$68:$N$68,MATCH($A30,日常水質!$J$60:$N$60,0))),INDEX(日常水質!$J$114:$N$114,MATCH($A30,日常水質!$J$106:$N$106,0))),INDEX(日常水質!$J$160:$N$160,MATCH($A30,日常水質!$J$152:$N$152,0))),INDEX(日常水質!$J$206:$N$206,MATCH($A30,日常水質!$J$198:$N$198,0))),"")</f>
        <v/>
      </c>
      <c r="L30" s="690" t="n"/>
      <c r="M30" s="1152">
        <f>IFERROR(IFERROR(IFERROR(IFERROR(IFERROR(INDEX(日常水質!$J$23:$N$23,MATCH($A30,日常水質!$J$14:$N$14,0)),INDEX(日常水質!$J$69:$N$69,MATCH($A30,日常水質!$J$60:$N$60,0))),INDEX(日常水質!$J$115:$N$115,MATCH($A30,日常水質!$J$106:$N$106,0))),INDEX(日常水質!$J$161:$N$161,MATCH($A30,日常水質!$J$152:$N$152,0))),INDEX(日常水質!$J$207:$N$207,MATCH($A30,日常水質!$J$198:$N$198,0))),"")</f>
        <v/>
      </c>
      <c r="N30" s="1177" t="n"/>
      <c r="O30" s="1161">
        <f>IFERROR(IFERROR(IFERROR(IFERROR(IFERROR(INDEX(日常水質!$J$34:$N$34,MATCH($A30,日常水質!$J$14:$N$14,0)),INDEX(日常水質!$J$80:$N$80,MATCH($A30,日常水質!$J$60:$N$60,0))),INDEX(日常水質!$J$126:$N$126,MATCH($A30,日常水質!$J$106:$N$106,0))),INDEX(日常水質!$J$172:$N$172,MATCH($A30,日常水質!$J$152:$N$152,0))),INDEX(日常水質!$J$218:$N$218,MATCH($A30,日常水質!$J$198:$N$198,0))),"")</f>
        <v/>
      </c>
      <c r="P30" s="1161">
        <f>IFERROR(IFERROR(IFERROR(IFERROR(IFERROR(INDEX(日常水質!$J$32:$N$32,MATCH($A30,日常水質!$J$14:$N$14,0)),INDEX(日常水質!$J$78:$N$78,MATCH($A30,日常水質!$J$60:$N$60,0))),INDEX(日常水質!$J$124:$N$124,MATCH($A30,日常水質!$J$106:$N$106,0))),INDEX(日常水質!$J$170:$N$170,MATCH($A30,日常水質!$J$152:$N$152,0))),INDEX(日常水質!$J$216:$N$216,MATCH($A30,日常水質!$J$198:$N$198,0))),"")</f>
        <v/>
      </c>
      <c r="Q30" s="1162">
        <f>IFERROR(IFERROR(IFERROR(IFERROR(IFERROR(INDEX(日常水質!$J$36:$N$36,MATCH($A30,日常水質!$J$14:$N$14,0)),INDEX(日常水質!$J$82:$N$82,MATCH($A30,日常水質!$J$60:$N$60,0))),INDEX(日常水質!$J$128:$N$128,MATCH($A30,日常水質!$J$106:$N$106,0))),INDEX(日常水質!$J$174:$N$174,MATCH($A30,日常水質!$J$152:$N$152,0))),INDEX(日常水質!$J$220:$N$220,MATCH($A30,日常水質!$J$198:$N$198,0))),"")</f>
        <v/>
      </c>
    </row>
    <row r="31" ht="13.5" customHeight="1" s="614">
      <c r="A31" s="1145">
        <f>IF(ISNUMBER(A30),IF(MONTH(A30+1)=MONTH($A$8),A30+1,""),"")</f>
        <v/>
      </c>
      <c r="B31" s="1146">
        <f>IF(ISNUMBER(A31),A31,"")</f>
        <v/>
      </c>
      <c r="C31" s="1166">
        <f>IFERROR(IFERROR(IFERROR(IFERROR(IFERROR(INDEX(日常水質!$J$16:$N$16,MATCH($A31,日常水質!$J$14:$N$14,0)),INDEX(日常水質!$J$62:$N$62,MATCH($A31,日常水質!$J$60:$N$60,0))),INDEX(日常水質!$J$108:$N$108,MATCH($A31,日常水質!$J$106:$N$106,0))),INDEX(日常水質!$J$154:$N$154,MATCH($A31,日常水質!$J$152:$N$152,0))),INDEX(日常水質!$J$200:$N$200,MATCH($A31,日常水質!$J$198:$N$198,0))),"")</f>
        <v/>
      </c>
      <c r="D31" s="1163">
        <f>IFERROR(IFERROR(IFERROR(IFERROR(IFERROR(INDEX(日常水質!$J$17:$N$17,MATCH($A31,日常水質!$J$14:$N$14,0)),INDEX(日常水質!$J$63:$N$63,MATCH($A31,日常水質!$J$60:$N$60,0))),INDEX(日常水質!$J$109:$N$109,MATCH($A31,日常水質!$J$106:$N$106,0))),INDEX(日常水質!$J$155:$N$155,MATCH($A31,日常水質!$J$152:$N$152,0))),INDEX(日常水質!$J$201:$N$201,MATCH($A31,日常水質!$J$198:$N$198,0))),"")</f>
        <v/>
      </c>
      <c r="E31" s="1163" t="n"/>
      <c r="F31" s="1180">
        <f>IFERROR(IFERROR(IFERROR(IFERROR(IFERROR(INDEX(日常水質!$J$18:$N$18,MATCH($A31,日常水質!$J$14:$N$14,0)),INDEX(日常水質!$J$64:$N$64,MATCH($A31,日常水質!$J$60:$N$60,0))),INDEX(日常水質!$J$110:$N$110,MATCH($A31,日常水質!$J$106:$N$106,0))),INDEX(日常水質!$J$156:$N$156,MATCH($A31,日常水質!$J$152:$N$152,0))),INDEX(日常水質!$J$202:$N$202,MATCH($A31,日常水質!$J$198:$N$198,0))),"")</f>
        <v/>
      </c>
      <c r="G31" s="1182">
        <f>IFERROR(IFERROR(IFERROR(IFERROR(IFERROR(INDEX(日常水質!$J$27:$N$27,MATCH($A31,日常水質!$J$14:$N$14,0)),INDEX(日常水質!$J$73:$N$73,MATCH($A31,日常水質!$J$60:$N$60,0))),INDEX(日常水質!$J$119:$N$119,MATCH($A31,日常水質!$J$106:$N$106,0))),INDEX(日常水質!$J$165:$N$165,MATCH($A31,日常水質!$J$152:$N$152,0))),INDEX(日常水質!$J$211:$N$211,MATCH($A31,日常水質!$J$198:$N$198,0))),"")</f>
        <v/>
      </c>
      <c r="H31" s="1183">
        <f>IFERROR(IFERROR(IFERROR(IFERROR(IFERROR(INDEX(日常水質!$J$28:$N$28,MATCH($A31,日常水質!$J$14:$N$14,0)),INDEX(日常水質!$J$74:$N$74,MATCH($A31,日常水質!$J$60:$N$60,0))),INDEX(日常水質!$J$120:$N$120,MATCH($A31,日常水質!$J$106:$N$106,0))),INDEX(日常水質!$J$166:$N$166,MATCH($A31,日常水質!$J$152:$N$152,0))),INDEX(日常水質!$J$212:$N$212,MATCH($A31,日常水質!$J$198:$N$198,0))),"")</f>
        <v/>
      </c>
      <c r="I31" s="1183" t="n"/>
      <c r="J31" s="1165">
        <f>IFERROR(IFERROR(IFERROR(IFERROR(IFERROR(INDEX(日常水質!$J$29:$N$29,MATCH($A31,日常水質!$J$14:$N$14,0)),INDEX(日常水質!$J$75:$N$75,MATCH($A31,日常水質!$J$60:$N$60,0))),INDEX(日常水質!$J$121:$N$121,MATCH($A31,日常水質!$J$106:$N$106,0))),INDEX(日常水質!$J$167:$N$167,MATCH($A31,日常水質!$J$152:$N$152,0))),INDEX(日常水質!$J$213:$N$213,MATCH($A31,日常水質!$J$198:$N$198,0))),"")</f>
        <v/>
      </c>
      <c r="K31" s="1176">
        <f>IFERROR(IFERROR(IFERROR(IFERROR(IFERROR(INDEX(日常水質!$J$22:$N$22,MATCH($A31,日常水質!$J$14:$N$14,0)),INDEX(日常水質!$J$68:$N$68,MATCH($A31,日常水質!$J$60:$N$60,0))),INDEX(日常水質!$J$114:$N$114,MATCH($A31,日常水質!$J$106:$N$106,0))),INDEX(日常水質!$J$160:$N$160,MATCH($A31,日常水質!$J$152:$N$152,0))),INDEX(日常水質!$J$206:$N$206,MATCH($A31,日常水質!$J$198:$N$198,0))),"")</f>
        <v/>
      </c>
      <c r="L31" s="690" t="n"/>
      <c r="M31" s="1152">
        <f>IFERROR(IFERROR(IFERROR(IFERROR(IFERROR(INDEX(日常水質!$J$23:$N$23,MATCH($A31,日常水質!$J$14:$N$14,0)),INDEX(日常水質!$J$69:$N$69,MATCH($A31,日常水質!$J$60:$N$60,0))),INDEX(日常水質!$J$115:$N$115,MATCH($A31,日常水質!$J$106:$N$106,0))),INDEX(日常水質!$J$161:$N$161,MATCH($A31,日常水質!$J$152:$N$152,0))),INDEX(日常水質!$J$207:$N$207,MATCH($A31,日常水質!$J$198:$N$198,0))),"")</f>
        <v/>
      </c>
      <c r="N31" s="1177" t="n"/>
      <c r="O31" s="1161">
        <f>IFERROR(IFERROR(IFERROR(IFERROR(IFERROR(INDEX(日常水質!$J$34:$N$34,MATCH($A31,日常水質!$J$14:$N$14,0)),INDEX(日常水質!$J$80:$N$80,MATCH($A31,日常水質!$J$60:$N$60,0))),INDEX(日常水質!$J$126:$N$126,MATCH($A31,日常水質!$J$106:$N$106,0))),INDEX(日常水質!$J$172:$N$172,MATCH($A31,日常水質!$J$152:$N$152,0))),INDEX(日常水質!$J$218:$N$218,MATCH($A31,日常水質!$J$198:$N$198,0))),"")</f>
        <v/>
      </c>
      <c r="P31" s="1161">
        <f>IFERROR(IFERROR(IFERROR(IFERROR(IFERROR(INDEX(日常水質!$J$32:$N$32,MATCH($A31,日常水質!$J$14:$N$14,0)),INDEX(日常水質!$J$78:$N$78,MATCH($A31,日常水質!$J$60:$N$60,0))),INDEX(日常水質!$J$124:$N$124,MATCH($A31,日常水質!$J$106:$N$106,0))),INDEX(日常水質!$J$170:$N$170,MATCH($A31,日常水質!$J$152:$N$152,0))),INDEX(日常水質!$J$216:$N$216,MATCH($A31,日常水質!$J$198:$N$198,0))),"")</f>
        <v/>
      </c>
      <c r="Q31" s="1162">
        <f>IFERROR(IFERROR(IFERROR(IFERROR(IFERROR(INDEX(日常水質!$J$36:$N$36,MATCH($A31,日常水質!$J$14:$N$14,0)),INDEX(日常水質!$J$82:$N$82,MATCH($A31,日常水質!$J$60:$N$60,0))),INDEX(日常水質!$J$128:$N$128,MATCH($A31,日常水質!$J$106:$N$106,0))),INDEX(日常水質!$J$174:$N$174,MATCH($A31,日常水質!$J$152:$N$152,0))),INDEX(日常水質!$J$220:$N$220,MATCH($A31,日常水質!$J$198:$N$198,0))),"")</f>
        <v/>
      </c>
    </row>
    <row r="32" ht="13.5" customHeight="1" s="614">
      <c r="A32" s="1145">
        <f>IF(ISNUMBER(A31),IF(MONTH(A31+1)=MONTH($A$8),A31+1,""),"")</f>
        <v/>
      </c>
      <c r="B32" s="1146">
        <f>IF(ISNUMBER(A32),A32,"")</f>
        <v/>
      </c>
      <c r="C32" s="1184">
        <f>IFERROR(IFERROR(IFERROR(IFERROR(IFERROR(INDEX(日常水質!$J$16:$N$16,MATCH($A32,日常水質!$J$14:$N$14,0)),INDEX(日常水質!$J$62:$N$62,MATCH($A32,日常水質!$J$60:$N$60,0))),INDEX(日常水質!$J$108:$N$108,MATCH($A32,日常水質!$J$106:$N$106,0))),INDEX(日常水質!$J$154:$N$154,MATCH($A32,日常水質!$J$152:$N$152,0))),INDEX(日常水質!$J$200:$N$200,MATCH($A32,日常水質!$J$198:$N$198,0))),"")</f>
        <v/>
      </c>
      <c r="D32" s="1053">
        <f>IFERROR(IFERROR(IFERROR(IFERROR(IFERROR(INDEX(日常水質!$J$17:$N$17,MATCH($A32,日常水質!$J$14:$N$14,0)),INDEX(日常水質!$J$63:$N$63,MATCH($A32,日常水質!$J$60:$N$60,0))),INDEX(日常水質!$J$109:$N$109,MATCH($A32,日常水質!$J$106:$N$106,0))),INDEX(日常水質!$J$155:$N$155,MATCH($A32,日常水質!$J$152:$N$152,0))),INDEX(日常水質!$J$201:$N$201,MATCH($A32,日常水質!$J$198:$N$198,0))),"")</f>
        <v/>
      </c>
      <c r="E32" s="1053" t="n"/>
      <c r="F32" s="1185">
        <f>IFERROR(IFERROR(IFERROR(IFERROR(IFERROR(INDEX(日常水質!$J$18:$N$18,MATCH($A32,日常水質!$J$14:$N$14,0)),INDEX(日常水質!$J$64:$N$64,MATCH($A32,日常水質!$J$60:$N$60,0))),INDEX(日常水質!$J$110:$N$110,MATCH($A32,日常水質!$J$106:$N$106,0))),INDEX(日常水質!$J$156:$N$156,MATCH($A32,日常水質!$J$152:$N$152,0))),INDEX(日常水質!$J$202:$N$202,MATCH($A32,日常水質!$J$198:$N$198,0))),"")</f>
        <v/>
      </c>
      <c r="G32" s="1182">
        <f>IFERROR(IFERROR(IFERROR(IFERROR(IFERROR(INDEX(日常水質!$J$27:$N$27,MATCH($A32,日常水質!$J$14:$N$14,0)),INDEX(日常水質!$J$73:$N$73,MATCH($A32,日常水質!$J$60:$N$60,0))),INDEX(日常水質!$J$119:$N$119,MATCH($A32,日常水質!$J$106:$N$106,0))),INDEX(日常水質!$J$165:$N$165,MATCH($A32,日常水質!$J$152:$N$152,0))),INDEX(日常水質!$J$211:$N$211,MATCH($A32,日常水質!$J$198:$N$198,0))),"")</f>
        <v/>
      </c>
      <c r="H32" s="1183">
        <f>IFERROR(IFERROR(IFERROR(IFERROR(IFERROR(INDEX(日常水質!$J$28:$N$28,MATCH($A32,日常水質!$J$14:$N$14,0)),INDEX(日常水質!$J$74:$N$74,MATCH($A32,日常水質!$J$60:$N$60,0))),INDEX(日常水質!$J$120:$N$120,MATCH($A32,日常水質!$J$106:$N$106,0))),INDEX(日常水質!$J$166:$N$166,MATCH($A32,日常水質!$J$152:$N$152,0))),INDEX(日常水質!$J$212:$N$212,MATCH($A32,日常水質!$J$198:$N$198,0))),"")</f>
        <v/>
      </c>
      <c r="I32" s="1183" t="n"/>
      <c r="J32" s="1165">
        <f>IFERROR(IFERROR(IFERROR(IFERROR(IFERROR(INDEX(日常水質!$J$29:$N$29,MATCH($A32,日常水質!$J$14:$N$14,0)),INDEX(日常水質!$J$75:$N$75,MATCH($A32,日常水質!$J$60:$N$60,0))),INDEX(日常水質!$J$121:$N$121,MATCH($A32,日常水質!$J$106:$N$106,0))),INDEX(日常水質!$J$167:$N$167,MATCH($A32,日常水質!$J$152:$N$152,0))),INDEX(日常水質!$J$213:$N$213,MATCH($A32,日常水質!$J$198:$N$198,0))),"")</f>
        <v/>
      </c>
      <c r="K32" s="1168">
        <f>IFERROR(IFERROR(IFERROR(IFERROR(IFERROR(INDEX(日常水質!$J$22:$N$22,MATCH($A32,日常水質!$J$14:$N$14,0)),INDEX(日常水質!$J$68:$N$68,MATCH($A32,日常水質!$J$60:$N$60,0))),INDEX(日常水質!$J$114:$N$114,MATCH($A32,日常水質!$J$106:$N$106,0))),INDEX(日常水質!$J$160:$N$160,MATCH($A32,日常水質!$J$152:$N$152,0))),INDEX(日常水質!$J$206:$N$206,MATCH($A32,日常水質!$J$198:$N$198,0))),"")</f>
        <v/>
      </c>
      <c r="L32" s="690" t="n"/>
      <c r="M32" s="1152">
        <f>IFERROR(IFERROR(IFERROR(IFERROR(IFERROR(INDEX(日常水質!$J$23:$N$23,MATCH($A32,日常水質!$J$14:$N$14,0)),INDEX(日常水質!$J$69:$N$69,MATCH($A32,日常水質!$J$60:$N$60,0))),INDEX(日常水質!$J$115:$N$115,MATCH($A32,日常水質!$J$106:$N$106,0))),INDEX(日常水質!$J$161:$N$161,MATCH($A32,日常水質!$J$152:$N$152,0))),INDEX(日常水質!$J$207:$N$207,MATCH($A32,日常水質!$J$198:$N$198,0))),"")</f>
        <v/>
      </c>
      <c r="N32" s="1177" t="n"/>
      <c r="O32" s="1161">
        <f>IFERROR(IFERROR(IFERROR(IFERROR(IFERROR(INDEX(日常水質!$J$34:$N$34,MATCH($A32,日常水質!$J$14:$N$14,0)),INDEX(日常水質!$J$80:$N$80,MATCH($A32,日常水質!$J$60:$N$60,0))),INDEX(日常水質!$J$126:$N$126,MATCH($A32,日常水質!$J$106:$N$106,0))),INDEX(日常水質!$J$172:$N$172,MATCH($A32,日常水質!$J$152:$N$152,0))),INDEX(日常水質!$J$218:$N$218,MATCH($A32,日常水質!$J$198:$N$198,0))),"")</f>
        <v/>
      </c>
      <c r="P32" s="1161">
        <f>IFERROR(IFERROR(IFERROR(IFERROR(IFERROR(INDEX(日常水質!$J$32:$N$32,MATCH($A32,日常水質!$J$14:$N$14,0)),INDEX(日常水質!$J$78:$N$78,MATCH($A32,日常水質!$J$60:$N$60,0))),INDEX(日常水質!$J$124:$N$124,MATCH($A32,日常水質!$J$106:$N$106,0))),INDEX(日常水質!$J$170:$N$170,MATCH($A32,日常水質!$J$152:$N$152,0))),INDEX(日常水質!$J$216:$N$216,MATCH($A32,日常水質!$J$198:$N$198,0))),"")</f>
        <v/>
      </c>
      <c r="Q32" s="1162">
        <f>IFERROR(IFERROR(IFERROR(IFERROR(IFERROR(INDEX(日常水質!$J$36:$N$36,MATCH($A32,日常水質!$J$14:$N$14,0)),INDEX(日常水質!$J$82:$N$82,MATCH($A32,日常水質!$J$60:$N$60,0))),INDEX(日常水質!$J$128:$N$128,MATCH($A32,日常水質!$J$106:$N$106,0))),INDEX(日常水質!$J$174:$N$174,MATCH($A32,日常水質!$J$152:$N$152,0))),INDEX(日常水質!$J$220:$N$220,MATCH($A32,日常水質!$J$198:$N$198,0))),"")</f>
        <v/>
      </c>
    </row>
    <row r="33" ht="13.5" customHeight="1" s="614">
      <c r="A33" s="1145">
        <f>IF(ISNUMBER(A32),IF(MONTH(A32+1)=MONTH($A$8),A32+1,""),"")</f>
        <v/>
      </c>
      <c r="B33" s="1146">
        <f>IF(ISNUMBER(A33),A33,"")</f>
        <v/>
      </c>
      <c r="C33" s="1166">
        <f>IFERROR(IFERROR(IFERROR(IFERROR(IFERROR(INDEX(日常水質!$J$16:$N$16,MATCH($A33,日常水質!$J$14:$N$14,0)),INDEX(日常水質!$J$62:$N$62,MATCH($A33,日常水質!$J$60:$N$60,0))),INDEX(日常水質!$J$108:$N$108,MATCH($A33,日常水質!$J$106:$N$106,0))),INDEX(日常水質!$J$154:$N$154,MATCH($A33,日常水質!$J$152:$N$152,0))),INDEX(日常水質!$J$200:$N$200,MATCH($A33,日常水質!$J$198:$N$198,0))),"")</f>
        <v/>
      </c>
      <c r="D33" s="1163">
        <f>IFERROR(IFERROR(IFERROR(IFERROR(IFERROR(INDEX(日常水質!$J$17:$N$17,MATCH($A33,日常水質!$J$14:$N$14,0)),INDEX(日常水質!$J$63:$N$63,MATCH($A33,日常水質!$J$60:$N$60,0))),INDEX(日常水質!$J$109:$N$109,MATCH($A33,日常水質!$J$106:$N$106,0))),INDEX(日常水質!$J$155:$N$155,MATCH($A33,日常水質!$J$152:$N$152,0))),INDEX(日常水質!$J$201:$N$201,MATCH($A33,日常水質!$J$198:$N$198,0))),"")</f>
        <v/>
      </c>
      <c r="E33" s="1163" t="n"/>
      <c r="F33" s="1181">
        <f>IFERROR(IFERROR(IFERROR(IFERROR(IFERROR(INDEX(日常水質!$J$18:$N$18,MATCH($A33,日常水質!$J$14:$N$14,0)),INDEX(日常水質!$J$64:$N$64,MATCH($A33,日常水質!$J$60:$N$60,0))),INDEX(日常水質!$J$110:$N$110,MATCH($A33,日常水質!$J$106:$N$106,0))),INDEX(日常水質!$J$156:$N$156,MATCH($A33,日常水質!$J$152:$N$152,0))),INDEX(日常水質!$J$202:$N$202,MATCH($A33,日常水質!$J$198:$N$198,0))),"")</f>
        <v/>
      </c>
      <c r="G33" s="1182">
        <f>IFERROR(IFERROR(IFERROR(IFERROR(IFERROR(INDEX(日常水質!$J$27:$N$27,MATCH($A33,日常水質!$J$14:$N$14,0)),INDEX(日常水質!$J$73:$N$73,MATCH($A33,日常水質!$J$60:$N$60,0))),INDEX(日常水質!$J$119:$N$119,MATCH($A33,日常水質!$J$106:$N$106,0))),INDEX(日常水質!$J$165:$N$165,MATCH($A33,日常水質!$J$152:$N$152,0))),INDEX(日常水質!$J$211:$N$211,MATCH($A33,日常水質!$J$198:$N$198,0))),"")</f>
        <v/>
      </c>
      <c r="H33" s="1183">
        <f>IFERROR(IFERROR(IFERROR(IFERROR(IFERROR(INDEX(日常水質!$J$28:$N$28,MATCH($A33,日常水質!$J$14:$N$14,0)),INDEX(日常水質!$J$74:$N$74,MATCH($A33,日常水質!$J$60:$N$60,0))),INDEX(日常水質!$J$120:$N$120,MATCH($A33,日常水質!$J$106:$N$106,0))),INDEX(日常水質!$J$166:$N$166,MATCH($A33,日常水質!$J$152:$N$152,0))),INDEX(日常水質!$J$212:$N$212,MATCH($A33,日常水質!$J$198:$N$198,0))),"")</f>
        <v/>
      </c>
      <c r="I33" s="1183" t="n"/>
      <c r="J33" s="1165">
        <f>IFERROR(IFERROR(IFERROR(IFERROR(IFERROR(INDEX(日常水質!$J$29:$N$29,MATCH($A33,日常水質!$J$14:$N$14,0)),INDEX(日常水質!$J$75:$N$75,MATCH($A33,日常水質!$J$60:$N$60,0))),INDEX(日常水質!$J$121:$N$121,MATCH($A33,日常水質!$J$106:$N$106,0))),INDEX(日常水質!$J$167:$N$167,MATCH($A33,日常水質!$J$152:$N$152,0))),INDEX(日常水質!$J$213:$N$213,MATCH($A33,日常水質!$J$198:$N$198,0))),"")</f>
        <v/>
      </c>
      <c r="K33" s="1168">
        <f>IFERROR(IFERROR(IFERROR(IFERROR(IFERROR(INDEX(日常水質!$J$22:$N$22,MATCH($A33,日常水質!$J$14:$N$14,0)),INDEX(日常水質!$J$68:$N$68,MATCH($A33,日常水質!$J$60:$N$60,0))),INDEX(日常水質!$J$114:$N$114,MATCH($A33,日常水質!$J$106:$N$106,0))),INDEX(日常水質!$J$160:$N$160,MATCH($A33,日常水質!$J$152:$N$152,0))),INDEX(日常水質!$J$206:$N$206,MATCH($A33,日常水質!$J$198:$N$198,0))),"")</f>
        <v/>
      </c>
      <c r="L33" s="690" t="n"/>
      <c r="M33" s="1152">
        <f>IFERROR(IFERROR(IFERROR(IFERROR(IFERROR(INDEX(日常水質!$J$23:$N$23,MATCH($A33,日常水質!$J$14:$N$14,0)),INDEX(日常水質!$J$69:$N$69,MATCH($A33,日常水質!$J$60:$N$60,0))),INDEX(日常水質!$J$115:$N$115,MATCH($A33,日常水質!$J$106:$N$106,0))),INDEX(日常水質!$J$161:$N$161,MATCH($A33,日常水質!$J$152:$N$152,0))),INDEX(日常水質!$J$207:$N$207,MATCH($A33,日常水質!$J$198:$N$198,0))),"")</f>
        <v/>
      </c>
      <c r="N33" s="1186" t="n"/>
      <c r="O33" s="1161">
        <f>IFERROR(IFERROR(IFERROR(IFERROR(IFERROR(INDEX(日常水質!$J$34:$N$34,MATCH($A33,日常水質!$J$14:$N$14,0)),INDEX(日常水質!$J$80:$N$80,MATCH($A33,日常水質!$J$60:$N$60,0))),INDEX(日常水質!$J$126:$N$126,MATCH($A33,日常水質!$J$106:$N$106,0))),INDEX(日常水質!$J$172:$N$172,MATCH($A33,日常水質!$J$152:$N$152,0))),INDEX(日常水質!$J$218:$N$218,MATCH($A33,日常水質!$J$198:$N$198,0))),"")</f>
        <v/>
      </c>
      <c r="P33" s="1161">
        <f>IFERROR(IFERROR(IFERROR(IFERROR(IFERROR(INDEX(日常水質!$J$32:$N$32,MATCH($A33,日常水質!$J$14:$N$14,0)),INDEX(日常水質!$J$78:$N$78,MATCH($A33,日常水質!$J$60:$N$60,0))),INDEX(日常水質!$J$124:$N$124,MATCH($A33,日常水質!$J$106:$N$106,0))),INDEX(日常水質!$J$170:$N$170,MATCH($A33,日常水質!$J$152:$N$152,0))),INDEX(日常水質!$J$216:$N$216,MATCH($A33,日常水質!$J$198:$N$198,0))),"")</f>
        <v/>
      </c>
      <c r="Q33" s="1162">
        <f>IFERROR(IFERROR(IFERROR(IFERROR(IFERROR(INDEX(日常水質!$J$36:$N$36,MATCH($A33,日常水質!$J$14:$N$14,0)),INDEX(日常水質!$J$82:$N$82,MATCH($A33,日常水質!$J$60:$N$60,0))),INDEX(日常水質!$J$128:$N$128,MATCH($A33,日常水質!$J$106:$N$106,0))),INDEX(日常水質!$J$174:$N$174,MATCH($A33,日常水質!$J$152:$N$152,0))),INDEX(日常水質!$J$220:$N$220,MATCH($A33,日常水質!$J$198:$N$198,0))),"")</f>
        <v/>
      </c>
    </row>
    <row r="34" ht="13.5" customHeight="1" s="614">
      <c r="A34" s="1145">
        <f>IF(ISNUMBER(A33),IF(MONTH(A33+1)=MONTH($A$8),A33+1,""),"")</f>
        <v/>
      </c>
      <c r="B34" s="1146">
        <f>IF(ISNUMBER(A34),A34,"")</f>
        <v/>
      </c>
      <c r="C34" s="1166">
        <f>IFERROR(IFERROR(IFERROR(IFERROR(IFERROR(INDEX(日常水質!$J$16:$N$16,MATCH($A34,日常水質!$J$14:$N$14,0)),INDEX(日常水質!$J$62:$N$62,MATCH($A34,日常水質!$J$60:$N$60,0))),INDEX(日常水質!$J$108:$N$108,MATCH($A34,日常水質!$J$106:$N$106,0))),INDEX(日常水質!$J$154:$N$154,MATCH($A34,日常水質!$J$152:$N$152,0))),INDEX(日常水質!$J$200:$N$200,MATCH($A34,日常水質!$J$198:$N$198,0))),"")</f>
        <v/>
      </c>
      <c r="D34" s="1163">
        <f>IFERROR(IFERROR(IFERROR(IFERROR(IFERROR(INDEX(日常水質!$J$17:$N$17,MATCH($A34,日常水質!$J$14:$N$14,0)),INDEX(日常水質!$J$63:$N$63,MATCH($A34,日常水質!$J$60:$N$60,0))),INDEX(日常水質!$J$109:$N$109,MATCH($A34,日常水質!$J$106:$N$106,0))),INDEX(日常水質!$J$155:$N$155,MATCH($A34,日常水質!$J$152:$N$152,0))),INDEX(日常水質!$J$201:$N$201,MATCH($A34,日常水質!$J$198:$N$198,0))),"")</f>
        <v/>
      </c>
      <c r="E34" s="1163" t="n"/>
      <c r="F34" s="1163">
        <f>IFERROR(IFERROR(IFERROR(IFERROR(IFERROR(INDEX(日常水質!$J$18:$N$18,MATCH($A34,日常水質!$J$14:$N$14,0)),INDEX(日常水質!$J$64:$N$64,MATCH($A34,日常水質!$J$60:$N$60,0))),INDEX(日常水質!$J$110:$N$110,MATCH($A34,日常水質!$J$106:$N$106,0))),INDEX(日常水質!$J$156:$N$156,MATCH($A34,日常水質!$J$152:$N$152,0))),INDEX(日常水質!$J$202:$N$202,MATCH($A34,日常水質!$J$198:$N$198,0))),"")</f>
        <v/>
      </c>
      <c r="G34" s="1182">
        <f>IFERROR(IFERROR(IFERROR(IFERROR(IFERROR(INDEX(日常水質!$J$27:$N$27,MATCH($A34,日常水質!$J$14:$N$14,0)),INDEX(日常水質!$J$73:$N$73,MATCH($A34,日常水質!$J$60:$N$60,0))),INDEX(日常水質!$J$119:$N$119,MATCH($A34,日常水質!$J$106:$N$106,0))),INDEX(日常水質!$J$165:$N$165,MATCH($A34,日常水質!$J$152:$N$152,0))),INDEX(日常水質!$J$211:$N$211,MATCH($A34,日常水質!$J$198:$N$198,0))),"")</f>
        <v/>
      </c>
      <c r="H34" s="1183">
        <f>IFERROR(IFERROR(IFERROR(IFERROR(IFERROR(INDEX(日常水質!$J$28:$N$28,MATCH($A34,日常水質!$J$14:$N$14,0)),INDEX(日常水質!$J$74:$N$74,MATCH($A34,日常水質!$J$60:$N$60,0))),INDEX(日常水質!$J$120:$N$120,MATCH($A34,日常水質!$J$106:$N$106,0))),INDEX(日常水質!$J$166:$N$166,MATCH($A34,日常水質!$J$152:$N$152,0))),INDEX(日常水質!$J$212:$N$212,MATCH($A34,日常水質!$J$198:$N$198,0))),"")</f>
        <v/>
      </c>
      <c r="I34" s="1183" t="n"/>
      <c r="J34" s="1165">
        <f>IFERROR(IFERROR(IFERROR(IFERROR(IFERROR(INDEX(日常水質!$J$29:$N$29,MATCH($A34,日常水質!$J$14:$N$14,0)),INDEX(日常水質!$J$75:$N$75,MATCH($A34,日常水質!$J$60:$N$60,0))),INDEX(日常水質!$J$121:$N$121,MATCH($A34,日常水質!$J$106:$N$106,0))),INDEX(日常水質!$J$167:$N$167,MATCH($A34,日常水質!$J$152:$N$152,0))),INDEX(日常水質!$J$213:$N$213,MATCH($A34,日常水質!$J$198:$N$198,0))),"")</f>
        <v/>
      </c>
      <c r="K34" s="1168">
        <f>IFERROR(IFERROR(IFERROR(IFERROR(IFERROR(INDEX(日常水質!$J$22:$N$22,MATCH($A34,日常水質!$J$14:$N$14,0)),INDEX(日常水質!$J$68:$N$68,MATCH($A34,日常水質!$J$60:$N$60,0))),INDEX(日常水質!$J$114:$N$114,MATCH($A34,日常水質!$J$106:$N$106,0))),INDEX(日常水質!$J$160:$N$160,MATCH($A34,日常水質!$J$152:$N$152,0))),INDEX(日常水質!$J$206:$N$206,MATCH($A34,日常水質!$J$198:$N$198,0))),"")</f>
        <v/>
      </c>
      <c r="L34" s="690" t="n"/>
      <c r="M34" s="1152">
        <f>IFERROR(IFERROR(IFERROR(IFERROR(IFERROR(INDEX(日常水質!$J$23:$N$23,MATCH($A34,日常水質!$J$14:$N$14,0)),INDEX(日常水質!$J$69:$N$69,MATCH($A34,日常水質!$J$60:$N$60,0))),INDEX(日常水質!$J$115:$N$115,MATCH($A34,日常水質!$J$106:$N$106,0))),INDEX(日常水質!$J$161:$N$161,MATCH($A34,日常水質!$J$152:$N$152,0))),INDEX(日常水質!$J$207:$N$207,MATCH($A34,日常水質!$J$198:$N$198,0))),"")</f>
        <v/>
      </c>
      <c r="N34" s="1186" t="n"/>
      <c r="O34" s="1161">
        <f>IFERROR(IFERROR(IFERROR(IFERROR(IFERROR(INDEX(日常水質!$J$34:$N$34,MATCH($A34,日常水質!$J$14:$N$14,0)),INDEX(日常水質!$J$80:$N$80,MATCH($A34,日常水質!$J$60:$N$60,0))),INDEX(日常水質!$J$126:$N$126,MATCH($A34,日常水質!$J$106:$N$106,0))),INDEX(日常水質!$J$172:$N$172,MATCH($A34,日常水質!$J$152:$N$152,0))),INDEX(日常水質!$J$218:$N$218,MATCH($A34,日常水質!$J$198:$N$198,0))),"")</f>
        <v/>
      </c>
      <c r="P34" s="1161">
        <f>IFERROR(IFERROR(IFERROR(IFERROR(IFERROR(INDEX(日常水質!$J$32:$N$32,MATCH($A34,日常水質!$J$14:$N$14,0)),INDEX(日常水質!$J$78:$N$78,MATCH($A34,日常水質!$J$60:$N$60,0))),INDEX(日常水質!$J$124:$N$124,MATCH($A34,日常水質!$J$106:$N$106,0))),INDEX(日常水質!$J$170:$N$170,MATCH($A34,日常水質!$J$152:$N$152,0))),INDEX(日常水質!$J$216:$N$216,MATCH($A34,日常水質!$J$198:$N$198,0))),"")</f>
        <v/>
      </c>
      <c r="Q34" s="1162">
        <f>IFERROR(IFERROR(IFERROR(IFERROR(IFERROR(INDEX(日常水質!$J$36:$N$36,MATCH($A34,日常水質!$J$14:$N$14,0)),INDEX(日常水質!$J$82:$N$82,MATCH($A34,日常水質!$J$60:$N$60,0))),INDEX(日常水質!$J$128:$N$128,MATCH($A34,日常水質!$J$106:$N$106,0))),INDEX(日常水質!$J$174:$N$174,MATCH($A34,日常水質!$J$152:$N$152,0))),INDEX(日常水質!$J$220:$N$220,MATCH($A34,日常水質!$J$198:$N$198,0))),"")</f>
        <v/>
      </c>
    </row>
    <row r="35" ht="13.5" customHeight="1" s="614">
      <c r="A35" s="1145">
        <f>IF(ISNUMBER(A34),IF(MONTH(A34+1)=MONTH($A$8),A34+1,""),"")</f>
        <v/>
      </c>
      <c r="B35" s="1146">
        <f>IF(ISNUMBER(A35),A35,"")</f>
        <v/>
      </c>
      <c r="C35" s="1166">
        <f>IFERROR(IFERROR(IFERROR(IFERROR(IFERROR(INDEX(日常水質!$J$16:$N$16,MATCH($A35,日常水質!$J$14:$N$14,0)),INDEX(日常水質!$J$62:$N$62,MATCH($A35,日常水質!$J$60:$N$60,0))),INDEX(日常水質!$J$108:$N$108,MATCH($A35,日常水質!$J$106:$N$106,0))),INDEX(日常水質!$J$154:$N$154,MATCH($A35,日常水質!$J$152:$N$152,0))),INDEX(日常水質!$J$200:$N$200,MATCH($A35,日常水質!$J$198:$N$198,0))),"")</f>
        <v/>
      </c>
      <c r="D35" s="1163">
        <f>IFERROR(IFERROR(IFERROR(IFERROR(IFERROR(INDEX(日常水質!$J$17:$N$17,MATCH($A35,日常水質!$J$14:$N$14,0)),INDEX(日常水質!$J$63:$N$63,MATCH($A35,日常水質!$J$60:$N$60,0))),INDEX(日常水質!$J$109:$N$109,MATCH($A35,日常水質!$J$106:$N$106,0))),INDEX(日常水質!$J$155:$N$155,MATCH($A35,日常水質!$J$152:$N$152,0))),INDEX(日常水質!$J$201:$N$201,MATCH($A35,日常水質!$J$198:$N$198,0))),"")</f>
        <v/>
      </c>
      <c r="E35" s="1163" t="n"/>
      <c r="F35" s="1163">
        <f>IFERROR(IFERROR(IFERROR(IFERROR(IFERROR(INDEX(日常水質!$J$18:$N$18,MATCH($A35,日常水質!$J$14:$N$14,0)),INDEX(日常水質!$J$64:$N$64,MATCH($A35,日常水質!$J$60:$N$60,0))),INDEX(日常水質!$J$110:$N$110,MATCH($A35,日常水質!$J$106:$N$106,0))),INDEX(日常水質!$J$156:$N$156,MATCH($A35,日常水質!$J$152:$N$152,0))),INDEX(日常水質!$J$202:$N$202,MATCH($A35,日常水質!$J$198:$N$198,0))),"")</f>
        <v/>
      </c>
      <c r="G35" s="1182">
        <f>IFERROR(IFERROR(IFERROR(IFERROR(IFERROR(INDEX(日常水質!$J$27:$N$27,MATCH($A35,日常水質!$J$14:$N$14,0)),INDEX(日常水質!$J$73:$N$73,MATCH($A35,日常水質!$J$60:$N$60,0))),INDEX(日常水質!$J$119:$N$119,MATCH($A35,日常水質!$J$106:$N$106,0))),INDEX(日常水質!$J$165:$N$165,MATCH($A35,日常水質!$J$152:$N$152,0))),INDEX(日常水質!$J$211:$N$211,MATCH($A35,日常水質!$J$198:$N$198,0))),"")</f>
        <v/>
      </c>
      <c r="H35" s="1183">
        <f>IFERROR(IFERROR(IFERROR(IFERROR(IFERROR(INDEX(日常水質!$J$28:$N$28,MATCH($A35,日常水質!$J$14:$N$14,0)),INDEX(日常水質!$J$74:$N$74,MATCH($A35,日常水質!$J$60:$N$60,0))),INDEX(日常水質!$J$120:$N$120,MATCH($A35,日常水質!$J$106:$N$106,0))),INDEX(日常水質!$J$166:$N$166,MATCH($A35,日常水質!$J$152:$N$152,0))),INDEX(日常水質!$J$212:$N$212,MATCH($A35,日常水質!$J$198:$N$198,0))),"")</f>
        <v/>
      </c>
      <c r="I35" s="1183" t="n"/>
      <c r="J35" s="1165">
        <f>IFERROR(IFERROR(IFERROR(IFERROR(IFERROR(INDEX(日常水質!$J$29:$N$29,MATCH($A35,日常水質!$J$14:$N$14,0)),INDEX(日常水質!$J$75:$N$75,MATCH($A35,日常水質!$J$60:$N$60,0))),INDEX(日常水質!$J$121:$N$121,MATCH($A35,日常水質!$J$106:$N$106,0))),INDEX(日常水質!$J$167:$N$167,MATCH($A35,日常水質!$J$152:$N$152,0))),INDEX(日常水質!$J$213:$N$213,MATCH($A35,日常水質!$J$198:$N$198,0))),"")</f>
        <v/>
      </c>
      <c r="K35" s="1168">
        <f>IFERROR(IFERROR(IFERROR(IFERROR(IFERROR(INDEX(日常水質!$J$22:$N$22,MATCH($A35,日常水質!$J$14:$N$14,0)),INDEX(日常水質!$J$68:$N$68,MATCH($A35,日常水質!$J$60:$N$60,0))),INDEX(日常水質!$J$114:$N$114,MATCH($A35,日常水質!$J$106:$N$106,0))),INDEX(日常水質!$J$160:$N$160,MATCH($A35,日常水質!$J$152:$N$152,0))),INDEX(日常水質!$J$206:$N$206,MATCH($A35,日常水質!$J$198:$N$198,0))),"")</f>
        <v/>
      </c>
      <c r="L35" s="690" t="n"/>
      <c r="M35" s="1152">
        <f>IFERROR(IFERROR(IFERROR(IFERROR(IFERROR(INDEX(日常水質!$J$23:$N$23,MATCH($A35,日常水質!$J$14:$N$14,0)),INDEX(日常水質!$J$69:$N$69,MATCH($A35,日常水質!$J$60:$N$60,0))),INDEX(日常水質!$J$115:$N$115,MATCH($A35,日常水質!$J$106:$N$106,0))),INDEX(日常水質!$J$161:$N$161,MATCH($A35,日常水質!$J$152:$N$152,0))),INDEX(日常水質!$J$207:$N$207,MATCH($A35,日常水質!$J$198:$N$198,0))),"")</f>
        <v/>
      </c>
      <c r="N35" s="1187" t="n"/>
      <c r="O35" s="1188">
        <f>IFERROR(IFERROR(IFERROR(IFERROR(IFERROR(INDEX(日常水質!$J$34:$N$34,MATCH($A35,日常水質!$J$14:$N$14,0)),INDEX(日常水質!$J$80:$N$80,MATCH($A35,日常水質!$J$60:$N$60,0))),INDEX(日常水質!$J$126:$N$126,MATCH($A35,日常水質!$J$106:$N$106,0))),INDEX(日常水質!$J$172:$N$172,MATCH($A35,日常水質!$J$152:$N$152,0))),INDEX(日常水質!$J$218:$N$218,MATCH($A35,日常水質!$J$198:$N$198,0))),"")</f>
        <v/>
      </c>
      <c r="P35" s="1188">
        <f>IFERROR(IFERROR(IFERROR(IFERROR(IFERROR(INDEX(日常水質!$J$32:$N$32,MATCH($A35,日常水質!$J$14:$N$14,0)),INDEX(日常水質!$J$78:$N$78,MATCH($A35,日常水質!$J$60:$N$60,0))),INDEX(日常水質!$J$124:$N$124,MATCH($A35,日常水質!$J$106:$N$106,0))),INDEX(日常水質!$J$170:$N$170,MATCH($A35,日常水質!$J$152:$N$152,0))),INDEX(日常水質!$J$216:$N$216,MATCH($A35,日常水質!$J$198:$N$198,0))),"")</f>
        <v/>
      </c>
      <c r="Q35" s="1189">
        <f>IFERROR(IFERROR(IFERROR(IFERROR(IFERROR(INDEX(日常水質!$J$36:$N$36,MATCH($A35,日常水質!$J$14:$N$14,0)),INDEX(日常水質!$J$82:$N$82,MATCH($A35,日常水質!$J$60:$N$60,0))),INDEX(日常水質!$J$128:$N$128,MATCH($A35,日常水質!$J$106:$N$106,0))),INDEX(日常水質!$J$174:$N$174,MATCH($A35,日常水質!$J$152:$N$152,0))),INDEX(日常水質!$J$220:$N$220,MATCH($A35,日常水質!$J$198:$N$198,0))),"")</f>
        <v/>
      </c>
    </row>
    <row r="36" ht="13.5" customHeight="1" s="614">
      <c r="A36" s="1145">
        <f>IF(ISNUMBER(A35),IF(MONTH(A35+1)=MONTH($A$8),A35+1,""),"")</f>
        <v/>
      </c>
      <c r="B36" s="1146">
        <f>IF(ISNUMBER(A36),A36,"")</f>
        <v/>
      </c>
      <c r="C36" s="1157">
        <f>IFERROR(IFERROR(IFERROR(IFERROR(IFERROR(INDEX(日常水質!$J$16:$N$16,MATCH($A36,日常水質!$J$14:$N$14,0)),INDEX(日常水質!$J$62:$N$62,MATCH($A36,日常水質!$J$60:$N$60,0))),INDEX(日常水質!$J$108:$N$108,MATCH($A36,日常水質!$J$106:$N$106,0))),INDEX(日常水質!$J$154:$N$154,MATCH($A36,日常水質!$J$152:$N$152,0))),INDEX(日常水質!$J$200:$N$200,MATCH($A36,日常水質!$J$198:$N$198,0))),"")</f>
        <v/>
      </c>
      <c r="D36" s="727">
        <f>IFERROR(IFERROR(IFERROR(IFERROR(IFERROR(INDEX(日常水質!$J$17:$N$17,MATCH($A36,日常水質!$J$14:$N$14,0)),INDEX(日常水質!$J$63:$N$63,MATCH($A36,日常水質!$J$60:$N$60,0))),INDEX(日常水質!$J$109:$N$109,MATCH($A36,日常水質!$J$106:$N$106,0))),INDEX(日常水質!$J$155:$N$155,MATCH($A36,日常水質!$J$152:$N$152,0))),INDEX(日常水質!$J$201:$N$201,MATCH($A36,日常水質!$J$198:$N$198,0))),"")</f>
        <v/>
      </c>
      <c r="E36" s="727" t="n"/>
      <c r="F36" s="663">
        <f>IFERROR(IFERROR(IFERROR(IFERROR(IFERROR(INDEX(日常水質!$J$18:$N$18,MATCH($A36,日常水質!$J$14:$N$14,0)),INDEX(日常水質!$J$64:$N$64,MATCH($A36,日常水質!$J$60:$N$60,0))),INDEX(日常水質!$J$110:$N$110,MATCH($A36,日常水質!$J$106:$N$106,0))),INDEX(日常水質!$J$156:$N$156,MATCH($A36,日常水質!$J$152:$N$152,0))),INDEX(日常水質!$J$202:$N$202,MATCH($A36,日常水質!$J$198:$N$198,0))),"")</f>
        <v/>
      </c>
      <c r="G36" s="1190">
        <f>IFERROR(IFERROR(IFERROR(IFERROR(IFERROR(INDEX(日常水質!$J$27:$N$27,MATCH($A36,日常水質!$J$14:$N$14,0)),INDEX(日常水質!$J$73:$N$73,MATCH($A36,日常水質!$J$60:$N$60,0))),INDEX(日常水質!$J$119:$N$119,MATCH($A36,日常水質!$J$106:$N$106,0))),INDEX(日常水質!$J$165:$N$165,MATCH($A36,日常水質!$J$152:$N$152,0))),INDEX(日常水質!$J$211:$N$211,MATCH($A36,日常水質!$J$198:$N$198,0))),"")</f>
        <v/>
      </c>
      <c r="H36" s="1172">
        <f>IFERROR(IFERROR(IFERROR(IFERROR(IFERROR(INDEX(日常水質!$J$28:$N$28,MATCH($A36,日常水質!$J$14:$N$14,0)),INDEX(日常水質!$J$74:$N$74,MATCH($A36,日常水質!$J$60:$N$60,0))),INDEX(日常水質!$J$120:$N$120,MATCH($A36,日常水質!$J$106:$N$106,0))),INDEX(日常水質!$J$166:$N$166,MATCH($A36,日常水質!$J$152:$N$152,0))),INDEX(日常水質!$J$212:$N$212,MATCH($A36,日常水質!$J$198:$N$198,0))),"")</f>
        <v/>
      </c>
      <c r="I36" s="1172" t="n"/>
      <c r="J36" s="1191">
        <f>IFERROR(IFERROR(IFERROR(IFERROR(IFERROR(INDEX(日常水質!$J$29:$N$29,MATCH($A36,日常水質!$J$14:$N$14,0)),INDEX(日常水質!$J$75:$N$75,MATCH($A36,日常水質!$J$60:$N$60,0))),INDEX(日常水質!$J$121:$N$121,MATCH($A36,日常水質!$J$106:$N$106,0))),INDEX(日常水質!$J$167:$N$167,MATCH($A36,日常水質!$J$152:$N$152,0))),INDEX(日常水質!$J$213:$N$213,MATCH($A36,日常水質!$J$198:$N$198,0))),"")</f>
        <v/>
      </c>
      <c r="K36" s="1192">
        <f>IFERROR(IFERROR(IFERROR(IFERROR(IFERROR(INDEX(日常水質!$J$22:$N$22,MATCH($A36,日常水質!$J$14:$N$14,0)),INDEX(日常水質!$J$68:$N$68,MATCH($A36,日常水質!$J$60:$N$60,0))),INDEX(日常水質!$J$114:$N$114,MATCH($A36,日常水質!$J$106:$N$106,0))),INDEX(日常水質!$J$160:$N$160,MATCH($A36,日常水質!$J$152:$N$152,0))),INDEX(日常水質!$J$206:$N$206,MATCH($A36,日常水質!$J$198:$N$198,0))),"")</f>
        <v/>
      </c>
      <c r="L36" s="690" t="n"/>
      <c r="M36" s="1152">
        <f>IFERROR(IFERROR(IFERROR(IFERROR(IFERROR(INDEX(日常水質!$J$23:$N$23,MATCH($A36,日常水質!$J$14:$N$14,0)),INDEX(日常水質!$J$69:$N$69,MATCH($A36,日常水質!$J$60:$N$60,0))),INDEX(日常水質!$J$115:$N$115,MATCH($A36,日常水質!$J$106:$N$106,0))),INDEX(日常水質!$J$161:$N$161,MATCH($A36,日常水質!$J$152:$N$152,0))),INDEX(日常水質!$J$207:$N$207,MATCH($A36,日常水質!$J$198:$N$198,0))),"")</f>
        <v/>
      </c>
      <c r="N36" s="1187" t="n"/>
      <c r="O36" s="1188">
        <f>IFERROR(IFERROR(IFERROR(IFERROR(IFERROR(INDEX(日常水質!$J$34:$N$34,MATCH($A36,日常水質!$J$14:$N$14,0)),INDEX(日常水質!$J$80:$N$80,MATCH($A36,日常水質!$J$60:$N$60,0))),INDEX(日常水質!$J$126:$N$126,MATCH($A36,日常水質!$J$106:$N$106,0))),INDEX(日常水質!$J$172:$N$172,MATCH($A36,日常水質!$J$152:$N$152,0))),INDEX(日常水質!$J$218:$N$218,MATCH($A36,日常水質!$J$198:$N$198,0))),"")</f>
        <v/>
      </c>
      <c r="P36" s="1188">
        <f>IFERROR(IFERROR(IFERROR(IFERROR(IFERROR(INDEX(日常水質!$J$32:$N$32,MATCH($A36,日常水質!$J$14:$N$14,0)),INDEX(日常水質!$J$78:$N$78,MATCH($A36,日常水質!$J$60:$N$60,0))),INDEX(日常水質!$J$124:$N$124,MATCH($A36,日常水質!$J$106:$N$106,0))),INDEX(日常水質!$J$170:$N$170,MATCH($A36,日常水質!$J$152:$N$152,0))),INDEX(日常水質!$J$216:$N$216,MATCH($A36,日常水質!$J$198:$N$198,0))),"")</f>
        <v/>
      </c>
      <c r="Q36" s="1189">
        <f>IFERROR(IFERROR(IFERROR(IFERROR(IFERROR(INDEX(日常水質!$J$36:$N$36,MATCH($A36,日常水質!$J$14:$N$14,0)),INDEX(日常水質!$J$82:$N$82,MATCH($A36,日常水質!$J$60:$N$60,0))),INDEX(日常水質!$J$128:$N$128,MATCH($A36,日常水質!$J$106:$N$106,0))),INDEX(日常水質!$J$174:$N$174,MATCH($A36,日常水質!$J$152:$N$152,0))),INDEX(日常水質!$J$220:$N$220,MATCH($A36,日常水質!$J$198:$N$198,0))),"")</f>
        <v/>
      </c>
    </row>
    <row r="37" ht="13.5" customHeight="1" s="614">
      <c r="A37" s="1145">
        <f>IF(ISNUMBER(A36),IF(MONTH(A36+1)=MONTH($A$8),A36+1,""),"")</f>
        <v/>
      </c>
      <c r="B37" s="1146">
        <f>IF(ISNUMBER(A37),A37,"")</f>
        <v/>
      </c>
      <c r="C37" s="1157">
        <f>IFERROR(IFERROR(IFERROR(IFERROR(IFERROR(INDEX(日常水質!$J$16:$N$16,MATCH($A37,日常水質!$J$14:$N$14,0)),INDEX(日常水質!$J$62:$N$62,MATCH($A37,日常水質!$J$60:$N$60,0))),INDEX(日常水質!$J$108:$N$108,MATCH($A37,日常水質!$J$106:$N$106,0))),INDEX(日常水質!$J$154:$N$154,MATCH($A37,日常水質!$J$152:$N$152,0))),INDEX(日常水質!$J$200:$N$200,MATCH($A37,日常水質!$J$198:$N$198,0))),"")</f>
        <v/>
      </c>
      <c r="D37" s="727">
        <f>IFERROR(IFERROR(IFERROR(IFERROR(IFERROR(INDEX(日常水質!$J$17:$N$17,MATCH($A37,日常水質!$J$14:$N$14,0)),INDEX(日常水質!$J$63:$N$63,MATCH($A37,日常水質!$J$60:$N$60,0))),INDEX(日常水質!$J$109:$N$109,MATCH($A37,日常水質!$J$106:$N$106,0))),INDEX(日常水質!$J$155:$N$155,MATCH($A37,日常水質!$J$152:$N$152,0))),INDEX(日常水質!$J$201:$N$201,MATCH($A37,日常水質!$J$198:$N$198,0))),"")</f>
        <v/>
      </c>
      <c r="E37" s="727" t="n"/>
      <c r="F37" s="663">
        <f>IFERROR(IFERROR(IFERROR(IFERROR(IFERROR(INDEX(日常水質!$J$18:$N$18,MATCH($A37,日常水質!$J$14:$N$14,0)),INDEX(日常水質!$J$64:$N$64,MATCH($A37,日常水質!$J$60:$N$60,0))),INDEX(日常水質!$J$110:$N$110,MATCH($A37,日常水質!$J$106:$N$106,0))),INDEX(日常水質!$J$156:$N$156,MATCH($A37,日常水質!$J$152:$N$152,0))),INDEX(日常水質!$J$202:$N$202,MATCH($A37,日常水質!$J$198:$N$198,0))),"")</f>
        <v/>
      </c>
      <c r="G37" s="1190">
        <f>IFERROR(IFERROR(IFERROR(IFERROR(IFERROR(INDEX(日常水質!$J$27:$N$27,MATCH($A37,日常水質!$J$14:$N$14,0)),INDEX(日常水質!$J$73:$N$73,MATCH($A37,日常水質!$J$60:$N$60,0))),INDEX(日常水質!$J$119:$N$119,MATCH($A37,日常水質!$J$106:$N$106,0))),INDEX(日常水質!$J$165:$N$165,MATCH($A37,日常水質!$J$152:$N$152,0))),INDEX(日常水質!$J$211:$N$211,MATCH($A37,日常水質!$J$198:$N$198,0))),"")</f>
        <v/>
      </c>
      <c r="H37" s="1172">
        <f>IFERROR(IFERROR(IFERROR(IFERROR(IFERROR(INDEX(日常水質!$J$28:$N$28,MATCH($A37,日常水質!$J$14:$N$14,0)),INDEX(日常水質!$J$74:$N$74,MATCH($A37,日常水質!$J$60:$N$60,0))),INDEX(日常水質!$J$120:$N$120,MATCH($A37,日常水質!$J$106:$N$106,0))),INDEX(日常水質!$J$166:$N$166,MATCH($A37,日常水質!$J$152:$N$152,0))),INDEX(日常水質!$J$212:$N$212,MATCH($A37,日常水質!$J$198:$N$198,0))),"")</f>
        <v/>
      </c>
      <c r="I37" s="1172" t="n"/>
      <c r="J37" s="1191">
        <f>IFERROR(IFERROR(IFERROR(IFERROR(IFERROR(INDEX(日常水質!$J$29:$N$29,MATCH($A37,日常水質!$J$14:$N$14,0)),INDEX(日常水質!$J$75:$N$75,MATCH($A37,日常水質!$J$60:$N$60,0))),INDEX(日常水質!$J$121:$N$121,MATCH($A37,日常水質!$J$106:$N$106,0))),INDEX(日常水質!$J$167:$N$167,MATCH($A37,日常水質!$J$152:$N$152,0))),INDEX(日常水質!$J$213:$N$213,MATCH($A37,日常水質!$J$198:$N$198,0))),"")</f>
        <v/>
      </c>
      <c r="K37" s="1193">
        <f>IFERROR(IFERROR(IFERROR(IFERROR(IFERROR(INDEX(日常水質!$J$22:$N$22,MATCH($A37,日常水質!$J$14:$N$14,0)),INDEX(日常水質!$J$68:$N$68,MATCH($A37,日常水質!$J$60:$N$60,0))),INDEX(日常水質!$J$114:$N$114,MATCH($A37,日常水質!$J$106:$N$106,0))),INDEX(日常水質!$J$160:$N$160,MATCH($A37,日常水質!$J$152:$N$152,0))),INDEX(日常水質!$J$206:$N$206,MATCH($A37,日常水質!$J$198:$N$198,0))),"")</f>
        <v/>
      </c>
      <c r="L37" s="690" t="n"/>
      <c r="M37" s="1152">
        <f>IFERROR(IFERROR(IFERROR(IFERROR(IFERROR(INDEX(日常水質!$J$23:$N$23,MATCH($A37,日常水質!$J$14:$N$14,0)),INDEX(日常水質!$J$69:$N$69,MATCH($A37,日常水質!$J$60:$N$60,0))),INDEX(日常水質!$J$115:$N$115,MATCH($A37,日常水質!$J$106:$N$106,0))),INDEX(日常水質!$J$161:$N$161,MATCH($A37,日常水質!$J$152:$N$152,0))),INDEX(日常水質!$J$207:$N$207,MATCH($A37,日常水質!$J$198:$N$198,0))),"")</f>
        <v/>
      </c>
      <c r="N37" s="1187" t="n"/>
      <c r="O37" s="1188">
        <f>IFERROR(IFERROR(IFERROR(IFERROR(IFERROR(INDEX(日常水質!$J$34:$N$34,MATCH($A37,日常水質!$J$14:$N$14,0)),INDEX(日常水質!$J$80:$N$80,MATCH($A37,日常水質!$J$60:$N$60,0))),INDEX(日常水質!$J$126:$N$126,MATCH($A37,日常水質!$J$106:$N$106,0))),INDEX(日常水質!$J$172:$N$172,MATCH($A37,日常水質!$J$152:$N$152,0))),INDEX(日常水質!$J$218:$N$218,MATCH($A37,日常水質!$J$198:$N$198,0))),"")</f>
        <v/>
      </c>
      <c r="P37" s="1188">
        <f>IFERROR(IFERROR(IFERROR(IFERROR(IFERROR(INDEX(日常水質!$J$32:$N$32,MATCH($A37,日常水質!$J$14:$N$14,0)),INDEX(日常水質!$J$78:$N$78,MATCH($A37,日常水質!$J$60:$N$60,0))),INDEX(日常水質!$J$124:$N$124,MATCH($A37,日常水質!$J$106:$N$106,0))),INDEX(日常水質!$J$170:$N$170,MATCH($A37,日常水質!$J$152:$N$152,0))),INDEX(日常水質!$J$216:$N$216,MATCH($A37,日常水質!$J$198:$N$198,0))),"")</f>
        <v/>
      </c>
      <c r="Q37" s="1189">
        <f>IFERROR(IFERROR(IFERROR(IFERROR(IFERROR(INDEX(日常水質!$J$36:$N$36,MATCH($A37,日常水質!$J$14:$N$14,0)),INDEX(日常水質!$J$82:$N$82,MATCH($A37,日常水質!$J$60:$N$60,0))),INDEX(日常水質!$J$128:$N$128,MATCH($A37,日常水質!$J$106:$N$106,0))),INDEX(日常水質!$J$174:$N$174,MATCH($A37,日常水質!$J$152:$N$152,0))),INDEX(日常水質!$J$220:$N$220,MATCH($A37,日常水質!$J$198:$N$198,0))),"")</f>
        <v/>
      </c>
    </row>
    <row r="38" ht="15" customHeight="1" s="614">
      <c r="A38" s="1194">
        <f>IF(ISNUMBER(A37),IF(MONTH(A37+1)=MONTH($A$8),A37+1,""),"")</f>
        <v/>
      </c>
      <c r="B38" s="1195">
        <f>IF(ISNUMBER(A38),A38,"")</f>
        <v/>
      </c>
      <c r="C38" s="1196">
        <f>IFERROR(IFERROR(IFERROR(IFERROR(IFERROR(INDEX(日常水質!$J$16:$N$16,MATCH($A38,日常水質!$J$14:$N$14,0)),INDEX(日常水質!$J$62:$N$62,MATCH($A38,日常水質!$J$60:$N$60,0))),INDEX(日常水質!$J$108:$N$108,MATCH($A38,日常水質!$J$106:$N$106,0))),INDEX(日常水質!$J$154:$N$154,MATCH($A38,日常水質!$J$152:$N$152,0))),INDEX(日常水質!$J$200:$N$200,MATCH($A38,日常水質!$J$198:$N$198,0))),"")</f>
        <v/>
      </c>
      <c r="D38" s="1075">
        <f>IFERROR(IFERROR(IFERROR(IFERROR(IFERROR(INDEX(日常水質!$J$17:$N$17,MATCH($A38,日常水質!$J$14:$N$14,0)),INDEX(日常水質!$J$63:$N$63,MATCH($A38,日常水質!$J$60:$N$60,0))),INDEX(日常水質!$J$109:$N$109,MATCH($A38,日常水質!$J$106:$N$106,0))),INDEX(日常水質!$J$155:$N$155,MATCH($A38,日常水質!$J$152:$N$152,0))),INDEX(日常水質!$J$201:$N$201,MATCH($A38,日常水質!$J$198:$N$198,0))),"")</f>
        <v/>
      </c>
      <c r="E38" s="1075" t="n"/>
      <c r="F38" s="1197">
        <f>IFERROR(IFERROR(IFERROR(IFERROR(IFERROR(INDEX(日常水質!$J$18:$N$18,MATCH($A38,日常水質!$J$14:$N$14,0)),INDEX(日常水質!$J$64:$N$64,MATCH($A38,日常水質!$J$60:$N$60,0))),INDEX(日常水質!$J$110:$N$110,MATCH($A38,日常水質!$J$106:$N$106,0))),INDEX(日常水質!$J$156:$N$156,MATCH($A38,日常水質!$J$152:$N$152,0))),INDEX(日常水質!$J$202:$N$202,MATCH($A38,日常水質!$J$198:$N$198,0))),"")</f>
        <v/>
      </c>
      <c r="G38" s="1198">
        <f>IFERROR(IFERROR(IFERROR(IFERROR(IFERROR(INDEX(日常水質!$J$27:$N$27,MATCH($A38,日常水質!$J$14:$N$14,0)),INDEX(日常水質!$J$73:$N$73,MATCH($A38,日常水質!$J$60:$N$60,0))),INDEX(日常水質!$J$119:$N$119,MATCH($A38,日常水質!$J$106:$N$106,0))),INDEX(日常水質!$J$165:$N$165,MATCH($A38,日常水質!$J$152:$N$152,0))),INDEX(日常水質!$J$211:$N$211,MATCH($A38,日常水質!$J$198:$N$198,0))),"")</f>
        <v/>
      </c>
      <c r="H38" s="1199">
        <f>IFERROR(IFERROR(IFERROR(IFERROR(IFERROR(INDEX(日常水質!$J$28:$N$28,MATCH($A38,日常水質!$J$14:$N$14,0)),INDEX(日常水質!$J$74:$N$74,MATCH($A38,日常水質!$J$60:$N$60,0))),INDEX(日常水質!$J$120:$N$120,MATCH($A38,日常水質!$J$106:$N$106,0))),INDEX(日常水質!$J$166:$N$166,MATCH($A38,日常水質!$J$152:$N$152,0))),INDEX(日常水質!$J$212:$N$212,MATCH($A38,日常水質!$J$198:$N$198,0))),"")</f>
        <v/>
      </c>
      <c r="I38" s="1199" t="n"/>
      <c r="J38" s="1200">
        <f>IFERROR(IFERROR(IFERROR(IFERROR(IFERROR(INDEX(日常水質!$J$29:$N$29,MATCH($A38,日常水質!$J$14:$N$14,0)),INDEX(日常水質!$J$75:$N$75,MATCH($A38,日常水質!$J$60:$N$60,0))),INDEX(日常水質!$J$121:$N$121,MATCH($A38,日常水質!$J$106:$N$106,0))),INDEX(日常水質!$J$167:$N$167,MATCH($A38,日常水質!$J$152:$N$152,0))),INDEX(日常水質!$J$213:$N$213,MATCH($A38,日常水質!$J$198:$N$198,0))),"")</f>
        <v/>
      </c>
      <c r="K38" s="1201">
        <f>IFERROR(IFERROR(IFERROR(IFERROR(IFERROR(INDEX(日常水質!$J$22:$N$22,MATCH($A38,日常水質!$J$14:$N$14,0)),INDEX(日常水質!$J$68:$N$68,MATCH($A38,日常水質!$J$60:$N$60,0))),INDEX(日常水質!$J$114:$N$114,MATCH($A38,日常水質!$J$106:$N$106,0))),INDEX(日常水質!$J$160:$N$160,MATCH($A38,日常水質!$J$152:$N$152,0))),INDEX(日常水質!$J$206:$N$206,MATCH($A38,日常水質!$J$198:$N$198,0))),"")</f>
        <v/>
      </c>
      <c r="L38" s="1077" t="n"/>
      <c r="M38" s="1202">
        <f>IFERROR(IFERROR(IFERROR(IFERROR(IFERROR(INDEX(日常水質!$J$23:$N$23,MATCH($A38,日常水質!$J$14:$N$14,0)),INDEX(日常水質!$J$69:$N$69,MATCH($A38,日常水質!$J$60:$N$60,0))),INDEX(日常水質!$J$115:$N$115,MATCH($A38,日常水質!$J$106:$N$106,0))),INDEX(日常水質!$J$161:$N$161,MATCH($A38,日常水質!$J$152:$N$152,0))),INDEX(日常水質!$J$207:$N$207,MATCH($A38,日常水質!$J$198:$N$198,0))),"")</f>
        <v/>
      </c>
      <c r="N38" s="1203" t="n"/>
      <c r="O38" s="1204">
        <f>IFERROR(IFERROR(IFERROR(IFERROR(IFERROR(INDEX(日常水質!$J$34:$N$34,MATCH($A38,日常水質!$J$14:$N$14,0)),INDEX(日常水質!$J$80:$N$80,MATCH($A38,日常水質!$J$60:$N$60,0))),INDEX(日常水質!$J$126:$N$126,MATCH($A38,日常水質!$J$106:$N$106,0))),INDEX(日常水質!$J$172:$N$172,MATCH($A38,日常水質!$J$152:$N$152,0))),INDEX(日常水質!$J$218:$N$218,MATCH($A38,日常水質!$J$198:$N$198,0))),"")</f>
        <v/>
      </c>
      <c r="P38" s="1204">
        <f>IFERROR(IFERROR(IFERROR(IFERROR(IFERROR(INDEX(日常水質!$J$32:$N$32,MATCH($A38,日常水質!$J$14:$N$14,0)),INDEX(日常水質!$J$78:$N$78,MATCH($A38,日常水質!$J$60:$N$60,0))),INDEX(日常水質!$J$124:$N$124,MATCH($A38,日常水質!$J$106:$N$106,0))),INDEX(日常水質!$J$170:$N$170,MATCH($A38,日常水質!$J$152:$N$152,0))),INDEX(日常水質!$J$216:$N$216,MATCH($A38,日常水質!$J$198:$N$198,0))),"")</f>
        <v/>
      </c>
      <c r="Q38" s="1205">
        <f>IFERROR(IFERROR(IFERROR(IFERROR(IFERROR(INDEX(日常水質!$J$36:$N$36,MATCH($A38,日常水質!$J$14:$N$14,0)),INDEX(日常水質!$J$82:$N$82,MATCH($A38,日常水質!$J$60:$N$60,0))),INDEX(日常水質!$J$128:$N$128,MATCH($A38,日常水質!$J$106:$N$106,0))),INDEX(日常水質!$J$174:$N$174,MATCH($A38,日常水質!$J$152:$N$152,0))),INDEX(日常水質!$J$220:$N$220,MATCH($A38,日常水質!$J$198:$N$198,0))),"")</f>
        <v/>
      </c>
    </row>
    <row r="39" ht="15" customHeight="1" s="614">
      <c r="A39" s="1206" t="inlineStr">
        <is>
          <t>最大</t>
        </is>
      </c>
      <c r="B39" s="654" t="n"/>
      <c r="C39" s="1039">
        <f>IFERROR(MAX(C8:C38),"")</f>
        <v/>
      </c>
      <c r="D39" s="1039">
        <f>IFERROR(MAX(D8:D38),"")</f>
        <v/>
      </c>
      <c r="E39" s="1039">
        <f>IFERROR(MAX(E8:E38),"")</f>
        <v/>
      </c>
      <c r="F39" s="1207">
        <f>IFERROR(MAX(F8:F38),"")</f>
        <v/>
      </c>
      <c r="G39" s="1208">
        <f>IFERROR(MAX(G8:G38),"")</f>
        <v/>
      </c>
      <c r="H39" s="1080">
        <f>IFERROR(MAX(H8:H38),"")</f>
        <v/>
      </c>
      <c r="I39" s="1080">
        <f>IFERROR(MAX(I8:I38),"")</f>
        <v/>
      </c>
      <c r="J39" s="1209">
        <f>IFERROR(MAX(J8:J38),"")</f>
        <v/>
      </c>
      <c r="K39" s="1210">
        <f>IFERROR(MAX(K8:K38),"")</f>
        <v/>
      </c>
      <c r="L39" s="1042">
        <f>IFERROR(MAX(L8:L38),"")</f>
        <v/>
      </c>
      <c r="M39" s="1211">
        <f>IFERROR(MAX(M8:M38),"")</f>
        <v/>
      </c>
      <c r="N39" s="1209">
        <f>IFERROR(MAX(N8:N38),"")</f>
        <v/>
      </c>
      <c r="O39" s="1212">
        <f>IFERROR(MAX(O8:O38),"")</f>
        <v/>
      </c>
      <c r="P39" s="1212">
        <f>IFERROR(MAX(P8:P38),"")</f>
        <v/>
      </c>
      <c r="Q39" s="1156">
        <f>IFERROR(MAX(Q8:Q38),"")</f>
        <v/>
      </c>
    </row>
    <row r="40" ht="13.5" customHeight="1" s="614">
      <c r="A40" s="1213" t="inlineStr">
        <is>
          <t>平均</t>
        </is>
      </c>
      <c r="B40" s="627" t="n"/>
      <c r="C40" s="1053">
        <f>IFERROR(AVERAGE(C8:C38),"")</f>
        <v/>
      </c>
      <c r="D40" s="1053">
        <f>IFERROR(AVERAGE(D8:D38),"")</f>
        <v/>
      </c>
      <c r="E40" s="1053">
        <f>IFERROR(AVERAGE(E8:E38),"")</f>
        <v/>
      </c>
      <c r="F40" s="1214">
        <f>IFERROR(AVERAGE(F8:F38),"")</f>
        <v/>
      </c>
      <c r="G40" s="1215">
        <f>IFERROR(AVERAGE(G8:G38),"")</f>
        <v/>
      </c>
      <c r="H40" s="1084">
        <f>IFERROR(AVERAGE(H8:H38),"")</f>
        <v/>
      </c>
      <c r="I40" s="1084">
        <f>IFERROR(AVERAGE(I8:I38),"")</f>
        <v/>
      </c>
      <c r="J40" s="1216">
        <f>IFERROR(AVERAGE(J8:J38),"")</f>
        <v/>
      </c>
      <c r="K40" s="1217">
        <f>IFERROR(AVERAGE(K8:K38),"")</f>
        <v/>
      </c>
      <c r="L40" s="1218">
        <f>IFERROR(AVERAGE(L8:L38),"")</f>
        <v/>
      </c>
      <c r="M40" s="1218">
        <f>IFERROR(AVERAGE(M8:M38),"")</f>
        <v/>
      </c>
      <c r="N40" s="1216">
        <f>IFERROR(AVERAGE(N8:N38),"")</f>
        <v/>
      </c>
      <c r="O40" s="1219">
        <f>IFERROR(AVERAGE(O8:O38),"")</f>
        <v/>
      </c>
      <c r="P40" s="1219">
        <f>IFERROR(AVERAGE(P8:P38),"")</f>
        <v/>
      </c>
      <c r="Q40" s="1162">
        <f>IFERROR(AVERAGE(Q8:Q38),"")</f>
        <v/>
      </c>
    </row>
    <row r="41" ht="15" customHeight="1" s="614">
      <c r="A41" s="1220" t="inlineStr">
        <is>
          <t>最小</t>
        </is>
      </c>
      <c r="B41" s="1087" t="n"/>
      <c r="C41" s="1089">
        <f>IFERROR(MIN(C8:C38),"")</f>
        <v/>
      </c>
      <c r="D41" s="1089">
        <f>IFERROR(MIN(D8:D38),"")</f>
        <v/>
      </c>
      <c r="E41" s="1089">
        <f>IFERROR(MIN(E8:E38),"")</f>
        <v/>
      </c>
      <c r="F41" s="1221">
        <f>IFERROR(MIN(F8:F38),"")</f>
        <v/>
      </c>
      <c r="G41" s="1222">
        <f>IFERROR(MIN(G8:G38),"")</f>
        <v/>
      </c>
      <c r="H41" s="1088">
        <f>IFERROR(MIN(H8:H38),"")</f>
        <v/>
      </c>
      <c r="I41" s="1088">
        <f>IFERROR(MIN(I8:I38),"")</f>
        <v/>
      </c>
      <c r="J41" s="1223">
        <f>IFERROR(MIN(J8:J38),"")</f>
        <v/>
      </c>
      <c r="K41" s="1224">
        <f>IFERROR(MIN(K8:K38),"")</f>
        <v/>
      </c>
      <c r="L41" s="1225">
        <f>IFERROR(MIN(L8:L38),"")</f>
        <v/>
      </c>
      <c r="M41" s="1225">
        <f>IFERROR(MIN(M8:M38),"")</f>
        <v/>
      </c>
      <c r="N41" s="1223">
        <f>IFERROR(MIN(N8:N38),"")</f>
        <v/>
      </c>
      <c r="O41" s="1226">
        <f>IFERROR(MIN(O8:O38),"")</f>
        <v/>
      </c>
      <c r="P41" s="1226">
        <f>IFERROR(MIN(P8:P38),"")</f>
        <v/>
      </c>
      <c r="Q41" s="1227">
        <f>IFERROR(MIN(Q8:Q38),"")</f>
        <v/>
      </c>
    </row>
    <row r="42" ht="21.75" customHeight="1" s="614">
      <c r="A42" s="1097" t="inlineStr">
        <is>
          <t xml:space="preserve">　加計浄化センター水質管理月報（２/２）</t>
        </is>
      </c>
      <c r="L42" s="1015" t="n"/>
      <c r="O42" s="1228">
        <f>O1</f>
        <v/>
      </c>
      <c r="R42" s="1100" t="n"/>
    </row>
    <row r="43" ht="15" customHeight="1" s="614"/>
    <row r="44" ht="13.5" customHeight="1" s="614">
      <c r="A44" s="1101" t="inlineStr">
        <is>
          <t>日付</t>
        </is>
      </c>
      <c r="B44" s="1229" t="inlineStr">
        <is>
          <t>曜日</t>
        </is>
      </c>
      <c r="C44" s="1103" t="inlineStr">
        <is>
          <t>外観</t>
        </is>
      </c>
      <c r="D44" s="1104" t="n"/>
      <c r="E44" s="1104" t="n"/>
      <c r="F44" s="1104" t="n"/>
      <c r="G44" s="1230" t="inlineStr">
        <is>
          <t>臭気</t>
        </is>
      </c>
      <c r="H44" s="1104" t="n"/>
      <c r="I44" s="1104" t="n"/>
      <c r="J44" s="1231" t="n"/>
      <c r="K44" s="765" t="n"/>
      <c r="L44" s="765" t="n"/>
      <c r="M44" s="758" t="n"/>
      <c r="N44" s="758" t="n"/>
    </row>
    <row r="45" ht="13.5" customHeight="1" s="614">
      <c r="A45" s="667" t="n"/>
      <c r="C45" s="1112" t="inlineStr">
        <is>
          <t>（５回/週）</t>
        </is>
      </c>
      <c r="G45" s="1232" t="inlineStr">
        <is>
          <t>（５回/週）</t>
        </is>
      </c>
      <c r="J45" s="651" t="n"/>
      <c r="K45" s="765" t="n"/>
      <c r="L45" s="765" t="n"/>
      <c r="M45" s="765" t="n"/>
      <c r="N45" s="765" t="n"/>
    </row>
    <row r="46" ht="13.5" customHeight="1" s="614">
      <c r="A46" s="667" t="n"/>
      <c r="C46" s="1118" t="inlineStr">
        <is>
          <t>―</t>
        </is>
      </c>
      <c r="D46" s="653" t="n"/>
      <c r="E46" s="653" t="n"/>
      <c r="F46" s="653" t="n"/>
      <c r="G46" s="1233" t="inlineStr">
        <is>
          <t>―</t>
        </is>
      </c>
      <c r="H46" s="653" t="n"/>
      <c r="I46" s="653" t="n"/>
      <c r="J46" s="658" t="n"/>
      <c r="K46" s="765" t="n"/>
      <c r="L46" s="765" t="n"/>
      <c r="M46" s="758" t="n"/>
      <c r="N46" s="758" t="n"/>
    </row>
    <row r="47" ht="13.5" customHeight="1" s="614">
      <c r="A47" s="667" t="n"/>
      <c r="C47" s="1125" t="inlineStr">
        <is>
          <t>流入</t>
        </is>
      </c>
      <c r="D47" s="1126" t="inlineStr">
        <is>
          <t>No．１</t>
        </is>
      </c>
      <c r="E47" s="1126" t="inlineStr">
        <is>
          <t>No．１</t>
        </is>
      </c>
      <c r="F47" s="1127" t="inlineStr">
        <is>
          <t>放流水</t>
        </is>
      </c>
      <c r="G47" s="1128" t="inlineStr">
        <is>
          <t>流入</t>
        </is>
      </c>
      <c r="H47" s="1126" t="inlineStr">
        <is>
          <t>No．１</t>
        </is>
      </c>
      <c r="I47" s="1126" t="inlineStr">
        <is>
          <t>No．１</t>
        </is>
      </c>
      <c r="J47" s="1234" t="inlineStr">
        <is>
          <t>放流水</t>
        </is>
      </c>
      <c r="K47" s="763" t="n"/>
      <c r="L47" s="765" t="n"/>
      <c r="M47" s="674" t="n"/>
      <c r="N47" s="763" t="n"/>
    </row>
    <row r="48" ht="15" customHeight="1" s="614">
      <c r="A48" s="1135" t="n"/>
      <c r="B48" s="1235" t="n"/>
      <c r="C48" s="1030" t="n"/>
      <c r="D48" s="1137" t="inlineStr">
        <is>
          <t>ディッチ</t>
        </is>
      </c>
      <c r="E48" s="1137" t="inlineStr">
        <is>
          <t>終沈</t>
        </is>
      </c>
      <c r="F48" s="1138" t="n"/>
      <c r="G48" s="1139" t="n"/>
      <c r="H48" s="1137" t="inlineStr">
        <is>
          <t>ディッチ</t>
        </is>
      </c>
      <c r="I48" s="1137" t="inlineStr">
        <is>
          <t>終沈</t>
        </is>
      </c>
      <c r="J48" s="1236" t="n"/>
      <c r="K48" s="674" t="n"/>
      <c r="L48" s="765" t="n"/>
      <c r="M48" s="674" t="n"/>
      <c r="N48" s="763" t="n"/>
    </row>
    <row r="49" ht="13.5" customHeight="1" s="614">
      <c r="A49" s="1145">
        <f>IF(ISNUMBER($A$8),$A$8,"")</f>
        <v/>
      </c>
      <c r="B49" s="1146">
        <f>IF(ISNUMBER(A49),A49,"")</f>
        <v/>
      </c>
      <c r="C49" s="1237">
        <f>IFERROR(IFERROR(IFERROR(IFERROR(IFERROR(INDEX(日常水質!$J$19:$N$19,MATCH($A49,日常水質!$J$14:$N$14,0)),INDEX(日常水質!$J$65:$N$65,MATCH($A49,日常水質!$J$60:$N$60,0))),INDEX(日常水質!$J$111:$N$111,MATCH($A49,日常水質!$J$106:$N$106,0))),INDEX(日常水質!$J$157:$N$157,MATCH($A49,日常水質!$J$152:$N$152,0))),INDEX(日常水質!$J$203:$N$203,MATCH($A49,日常水質!$J$198:$N$198,0))),"")</f>
        <v/>
      </c>
      <c r="D49" s="1053">
        <f>IFERROR(IFERROR(IFERROR(IFERROR(IFERROR(INDEX(日常水質!$J$20:$N$20,MATCH($A49,日常水質!$J$14:$N$14,0)),INDEX(日常水質!$J$66:$N$66,MATCH($A49,日常水質!$J$60:$N$60,0))),INDEX(日常水質!$J$112:$N$112,MATCH($A49,日常水質!$J$106:$N$106,0))),INDEX(日常水質!$J$158:$N$158,MATCH($A49,日常水質!$J$152:$N$152,0))),INDEX(日常水質!$J$204:$N$204,MATCH($A49,日常水質!$J$198:$N$198,0))),"")</f>
        <v/>
      </c>
      <c r="E49" s="1053" t="n"/>
      <c r="F49" s="1053">
        <f>IFERROR(IFERROR(IFERROR(IFERROR(IFERROR(INDEX(日常水質!$J$21:$N$21,MATCH($A49,日常水質!$J$14:$N$14,0)),INDEX(日常水質!$J$67:$N$67,MATCH($A49,日常水質!$J$60:$N$60,0))),INDEX(日常水質!$J$113:$N$113,MATCH($A49,日常水質!$J$106:$N$106,0))),INDEX(日常水質!$J$159:$N$159,MATCH($A49,日常水質!$J$152:$N$152,0))),INDEX(日常水質!$J$205:$N$205,MATCH($A49,日常水質!$J$198:$N$198,0))),"")</f>
        <v/>
      </c>
      <c r="G49" s="1182">
        <f>IFERROR(IFERROR(IFERROR(IFERROR(IFERROR(INDEX(日常水質!$J$24:$N$24,MATCH($A49,日常水質!$J$14:$N$14,0)),INDEX(日常水質!$J$70:$N$70,MATCH($A49,日常水質!$J$60:$N$60,0))),INDEX(日常水質!$J$116:$N$116,MATCH($A49,日常水質!$J$106:$N$106,0))),INDEX(日常水質!$J$162:$N$162,MATCH($A49,日常水質!$J$152:$N$152,0))),INDEX(日常水質!$J$208:$N$208,MATCH($A49,日常水質!$J$198:$N$198,0))),"")</f>
        <v/>
      </c>
      <c r="H49" s="1238">
        <f>IFERROR(IFERROR(IFERROR(IFERROR(IFERROR(INDEX(日常水質!$J$25:$N$25,MATCH($A49,日常水質!$J$14:$N$14,0)),INDEX(日常水質!$J$71:$N$71,MATCH($A49,日常水質!$J$60:$N$60,0))),INDEX(日常水質!$J$117:$N$117,MATCH($A49,日常水質!$J$106:$N$106,0))),INDEX(日常水質!$J$163:$N$163,MATCH($A49,日常水質!$J$152:$N$152,0))),INDEX(日常水質!$J$209:$N$209,MATCH($A49,日常水質!$J$198:$N$198,0))),"")</f>
        <v/>
      </c>
      <c r="I49" s="1239" t="n"/>
      <c r="J49" s="1240">
        <f>IFERROR(IFERROR(IFERROR(IFERROR(IFERROR(INDEX(日常水質!$J$26:$N$26,MATCH($A49,日常水質!$J$14:$N$14,0)),INDEX(日常水質!$J$72:$N$72,MATCH($A49,日常水質!$J$60:$N$60,0))),INDEX(日常水質!$J$118:$N$118,MATCH($A49,日常水質!$J$106:$N$106,0))),INDEX(日常水質!$J$164:$N$164,MATCH($A49,日常水質!$J$152:$N$152,0))),INDEX(日常水質!$J$210:$N$210,MATCH($A49,日常水質!$J$198:$N$198,0))),"")</f>
        <v/>
      </c>
      <c r="K49" s="1241" t="n"/>
      <c r="L49" s="1242" t="n"/>
      <c r="M49" s="1015" t="n"/>
      <c r="N49" s="1015" t="n"/>
    </row>
    <row r="50" ht="13.5" customHeight="1" s="614">
      <c r="A50" s="1243">
        <f>IF(ISNUMBER(A49),IF(MONTH(A49+1)=MONTH($A$8),A49+1,""),"")</f>
        <v/>
      </c>
      <c r="B50" s="1146">
        <f>IF(ISNUMBER(A50),A50,"")</f>
        <v/>
      </c>
      <c r="C50" s="1244">
        <f>IFERROR(IFERROR(IFERROR(IFERROR(IFERROR(INDEX(日常水質!$J$19:$N$19,MATCH($A50,日常水質!$J$14:$N$14,0)),INDEX(日常水質!$J$65:$N$65,MATCH($A50,日常水質!$J$60:$N$60,0))),INDEX(日常水質!$J$111:$N$111,MATCH($A50,日常水質!$J$106:$N$106,0))),INDEX(日常水質!$J$157:$N$157,MATCH($A50,日常水質!$J$152:$N$152,0))),INDEX(日常水質!$J$203:$N$203,MATCH($A50,日常水質!$J$198:$N$198,0))),"")</f>
        <v/>
      </c>
      <c r="D50" s="1245">
        <f>IFERROR(IFERROR(IFERROR(IFERROR(IFERROR(INDEX(日常水質!$J$20:$N$20,MATCH($A50,日常水質!$J$14:$N$14,0)),INDEX(日常水質!$J$66:$N$66,MATCH($A50,日常水質!$J$60:$N$60,0))),INDEX(日常水質!$J$112:$N$112,MATCH($A50,日常水質!$J$106:$N$106,0))),INDEX(日常水質!$J$158:$N$158,MATCH($A50,日常水質!$J$152:$N$152,0))),INDEX(日常水質!$J$204:$N$204,MATCH($A50,日常水質!$J$198:$N$198,0))),"")</f>
        <v/>
      </c>
      <c r="E50" s="1245" t="n"/>
      <c r="F50" s="1245">
        <f>IFERROR(IFERROR(IFERROR(IFERROR(IFERROR(INDEX(日常水質!$J$21:$N$21,MATCH($A50,日常水質!$J$14:$N$14,0)),INDEX(日常水質!$J$67:$N$67,MATCH($A50,日常水質!$J$60:$N$60,0))),INDEX(日常水質!$J$113:$N$113,MATCH($A50,日常水質!$J$106:$N$106,0))),INDEX(日常水質!$J$159:$N$159,MATCH($A50,日常水質!$J$152:$N$152,0))),INDEX(日常水質!$J$205:$N$205,MATCH($A50,日常水質!$J$198:$N$198,0))),"")</f>
        <v/>
      </c>
      <c r="G50" s="1246">
        <f>IFERROR(IFERROR(IFERROR(IFERROR(IFERROR(INDEX(日常水質!$J$24:$N$24,MATCH($A50,日常水質!$J$14:$N$14,0)),INDEX(日常水質!$J$70:$N$70,MATCH($A50,日常水質!$J$60:$N$60,0))),INDEX(日常水質!$J$116:$N$116,MATCH($A50,日常水質!$J$106:$N$106,0))),INDEX(日常水質!$J$162:$N$162,MATCH($A50,日常水質!$J$152:$N$152,0))),INDEX(日常水質!$J$208:$N$208,MATCH($A50,日常水質!$J$198:$N$198,0))),"")</f>
        <v/>
      </c>
      <c r="H50" s="1247">
        <f>IFERROR(IFERROR(IFERROR(IFERROR(IFERROR(INDEX(日常水質!$J$25:$N$25,MATCH($A50,日常水質!$J$14:$N$14,0)),INDEX(日常水質!$J$71:$N$71,MATCH($A50,日常水質!$J$60:$N$60,0))),INDEX(日常水質!$J$117:$N$117,MATCH($A50,日常水質!$J$106:$N$106,0))),INDEX(日常水質!$J$163:$N$163,MATCH($A50,日常水質!$J$152:$N$152,0))),INDEX(日常水質!$J$209:$N$209,MATCH($A50,日常水質!$J$198:$N$198,0))),"")</f>
        <v/>
      </c>
      <c r="I50" s="1248" t="n"/>
      <c r="J50" s="1249">
        <f>IFERROR(IFERROR(IFERROR(IFERROR(IFERROR(INDEX(日常水質!$J$26:$N$26,MATCH($A50,日常水質!$J$14:$N$14,0)),INDEX(日常水質!$J$72:$N$72,MATCH($A50,日常水質!$J$60:$N$60,0))),INDEX(日常水質!$J$118:$N$118,MATCH($A50,日常水質!$J$106:$N$106,0))),INDEX(日常水質!$J$164:$N$164,MATCH($A50,日常水質!$J$152:$N$152,0))),INDEX(日常水質!$J$210:$N$210,MATCH($A50,日常水質!$J$198:$N$198,0))),"")</f>
        <v/>
      </c>
      <c r="K50" s="1241" t="n"/>
      <c r="L50" s="1242" t="n"/>
      <c r="M50" s="1015" t="n"/>
      <c r="N50" s="1015" t="n"/>
    </row>
    <row r="51" ht="13.5" customHeight="1" s="614">
      <c r="A51" s="1243">
        <f>IF(ISNUMBER(A50),IF(MONTH(A50+1)=MONTH($A$8),A50+1,""),"")</f>
        <v/>
      </c>
      <c r="B51" s="1146">
        <f>IF(ISNUMBER(A51),A51,"")</f>
        <v/>
      </c>
      <c r="C51" s="1244">
        <f>IFERROR(IFERROR(IFERROR(IFERROR(IFERROR(INDEX(日常水質!$J$19:$N$19,MATCH($A51,日常水質!$J$14:$N$14,0)),INDEX(日常水質!$J$65:$N$65,MATCH($A51,日常水質!$J$60:$N$60,0))),INDEX(日常水質!$J$111:$N$111,MATCH($A51,日常水質!$J$106:$N$106,0))),INDEX(日常水質!$J$157:$N$157,MATCH($A51,日常水質!$J$152:$N$152,0))),INDEX(日常水質!$J$203:$N$203,MATCH($A51,日常水質!$J$198:$N$198,0))),"")</f>
        <v/>
      </c>
      <c r="D51" s="1245">
        <f>IFERROR(IFERROR(IFERROR(IFERROR(IFERROR(INDEX(日常水質!$J$20:$N$20,MATCH($A51,日常水質!$J$14:$N$14,0)),INDEX(日常水質!$J$66:$N$66,MATCH($A51,日常水質!$J$60:$N$60,0))),INDEX(日常水質!$J$112:$N$112,MATCH($A51,日常水質!$J$106:$N$106,0))),INDEX(日常水質!$J$158:$N$158,MATCH($A51,日常水質!$J$152:$N$152,0))),INDEX(日常水質!$J$204:$N$204,MATCH($A51,日常水質!$J$198:$N$198,0))),"")</f>
        <v/>
      </c>
      <c r="E51" s="1245" t="n"/>
      <c r="F51" s="1245">
        <f>IFERROR(IFERROR(IFERROR(IFERROR(IFERROR(INDEX(日常水質!$J$21:$N$21,MATCH($A51,日常水質!$J$14:$N$14,0)),INDEX(日常水質!$J$67:$N$67,MATCH($A51,日常水質!$J$60:$N$60,0))),INDEX(日常水質!$J$113:$N$113,MATCH($A51,日常水質!$J$106:$N$106,0))),INDEX(日常水質!$J$159:$N$159,MATCH($A51,日常水質!$J$152:$N$152,0))),INDEX(日常水質!$J$205:$N$205,MATCH($A51,日常水質!$J$198:$N$198,0))),"")</f>
        <v/>
      </c>
      <c r="G51" s="1246">
        <f>IFERROR(IFERROR(IFERROR(IFERROR(IFERROR(INDEX(日常水質!$J$24:$N$24,MATCH($A51,日常水質!$J$14:$N$14,0)),INDEX(日常水質!$J$70:$N$70,MATCH($A51,日常水質!$J$60:$N$60,0))),INDEX(日常水質!$J$116:$N$116,MATCH($A51,日常水質!$J$106:$N$106,0))),INDEX(日常水質!$J$162:$N$162,MATCH($A51,日常水質!$J$152:$N$152,0))),INDEX(日常水質!$J$208:$N$208,MATCH($A51,日常水質!$J$198:$N$198,0))),"")</f>
        <v/>
      </c>
      <c r="H51" s="1247">
        <f>IFERROR(IFERROR(IFERROR(IFERROR(IFERROR(INDEX(日常水質!$J$25:$N$25,MATCH($A51,日常水質!$J$14:$N$14,0)),INDEX(日常水質!$J$71:$N$71,MATCH($A51,日常水質!$J$60:$N$60,0))),INDEX(日常水質!$J$117:$N$117,MATCH($A51,日常水質!$J$106:$N$106,0))),INDEX(日常水質!$J$163:$N$163,MATCH($A51,日常水質!$J$152:$N$152,0))),INDEX(日常水質!$J$209:$N$209,MATCH($A51,日常水質!$J$198:$N$198,0))),"")</f>
        <v/>
      </c>
      <c r="I51" s="1248" t="n"/>
      <c r="J51" s="1249">
        <f>IFERROR(IFERROR(IFERROR(IFERROR(IFERROR(INDEX(日常水質!$J$26:$N$26,MATCH($A51,日常水質!$J$14:$N$14,0)),INDEX(日常水質!$J$72:$N$72,MATCH($A51,日常水質!$J$60:$N$60,0))),INDEX(日常水質!$J$118:$N$118,MATCH($A51,日常水質!$J$106:$N$106,0))),INDEX(日常水質!$J$164:$N$164,MATCH($A51,日常水質!$J$152:$N$152,0))),INDEX(日常水質!$J$210:$N$210,MATCH($A51,日常水質!$J$198:$N$198,0))),"")</f>
        <v/>
      </c>
      <c r="K51" s="1241" t="n"/>
      <c r="L51" s="1242" t="n"/>
      <c r="M51" s="1015" t="n"/>
      <c r="N51" s="1015" t="n"/>
    </row>
    <row r="52" ht="13.5" customHeight="1" s="614">
      <c r="A52" s="1243">
        <f>IF(ISNUMBER(A51),IF(MONTH(A51+1)=MONTH($A$8),A51+1,""),"")</f>
        <v/>
      </c>
      <c r="B52" s="1146">
        <f>IF(ISNUMBER(A52),A52,"")</f>
        <v/>
      </c>
      <c r="C52" s="1244">
        <f>IFERROR(IFERROR(IFERROR(IFERROR(IFERROR(INDEX(日常水質!$J$19:$N$19,MATCH($A52,日常水質!$J$14:$N$14,0)),INDEX(日常水質!$J$65:$N$65,MATCH($A52,日常水質!$J$60:$N$60,0))),INDEX(日常水質!$J$111:$N$111,MATCH($A52,日常水質!$J$106:$N$106,0))),INDEX(日常水質!$J$157:$N$157,MATCH($A52,日常水質!$J$152:$N$152,0))),INDEX(日常水質!$J$203:$N$203,MATCH($A52,日常水質!$J$198:$N$198,0))),"")</f>
        <v/>
      </c>
      <c r="D52" s="1245">
        <f>IFERROR(IFERROR(IFERROR(IFERROR(IFERROR(INDEX(日常水質!$J$20:$N$20,MATCH($A52,日常水質!$J$14:$N$14,0)),INDEX(日常水質!$J$66:$N$66,MATCH($A52,日常水質!$J$60:$N$60,0))),INDEX(日常水質!$J$112:$N$112,MATCH($A52,日常水質!$J$106:$N$106,0))),INDEX(日常水質!$J$158:$N$158,MATCH($A52,日常水質!$J$152:$N$152,0))),INDEX(日常水質!$J$204:$N$204,MATCH($A52,日常水質!$J$198:$N$198,0))),"")</f>
        <v/>
      </c>
      <c r="E52" s="1245" t="n"/>
      <c r="F52" s="1245">
        <f>IFERROR(IFERROR(IFERROR(IFERROR(IFERROR(INDEX(日常水質!$J$21:$N$21,MATCH($A52,日常水質!$J$14:$N$14,0)),INDEX(日常水質!$J$67:$N$67,MATCH($A52,日常水質!$J$60:$N$60,0))),INDEX(日常水質!$J$113:$N$113,MATCH($A52,日常水質!$J$106:$N$106,0))),INDEX(日常水質!$J$159:$N$159,MATCH($A52,日常水質!$J$152:$N$152,0))),INDEX(日常水質!$J$205:$N$205,MATCH($A52,日常水質!$J$198:$N$198,0))),"")</f>
        <v/>
      </c>
      <c r="G52" s="1246">
        <f>IFERROR(IFERROR(IFERROR(IFERROR(IFERROR(INDEX(日常水質!$J$24:$N$24,MATCH($A52,日常水質!$J$14:$N$14,0)),INDEX(日常水質!$J$70:$N$70,MATCH($A52,日常水質!$J$60:$N$60,0))),INDEX(日常水質!$J$116:$N$116,MATCH($A52,日常水質!$J$106:$N$106,0))),INDEX(日常水質!$J$162:$N$162,MATCH($A52,日常水質!$J$152:$N$152,0))),INDEX(日常水質!$J$208:$N$208,MATCH($A52,日常水質!$J$198:$N$198,0))),"")</f>
        <v/>
      </c>
      <c r="H52" s="1247">
        <f>IFERROR(IFERROR(IFERROR(IFERROR(IFERROR(INDEX(日常水質!$J$25:$N$25,MATCH($A52,日常水質!$J$14:$N$14,0)),INDEX(日常水質!$J$71:$N$71,MATCH($A52,日常水質!$J$60:$N$60,0))),INDEX(日常水質!$J$117:$N$117,MATCH($A52,日常水質!$J$106:$N$106,0))),INDEX(日常水質!$J$163:$N$163,MATCH($A52,日常水質!$J$152:$N$152,0))),INDEX(日常水質!$J$209:$N$209,MATCH($A52,日常水質!$J$198:$N$198,0))),"")</f>
        <v/>
      </c>
      <c r="I52" s="1248" t="n"/>
      <c r="J52" s="1249">
        <f>IFERROR(IFERROR(IFERROR(IFERROR(IFERROR(INDEX(日常水質!$J$26:$N$26,MATCH($A52,日常水質!$J$14:$N$14,0)),INDEX(日常水質!$J$72:$N$72,MATCH($A52,日常水質!$J$60:$N$60,0))),INDEX(日常水質!$J$118:$N$118,MATCH($A52,日常水質!$J$106:$N$106,0))),INDEX(日常水質!$J$164:$N$164,MATCH($A52,日常水質!$J$152:$N$152,0))),INDEX(日常水質!$J$210:$N$210,MATCH($A52,日常水質!$J$198:$N$198,0))),"")</f>
        <v/>
      </c>
      <c r="K52" s="1241" t="n"/>
      <c r="L52" s="1242" t="n"/>
      <c r="M52" s="1015" t="n"/>
      <c r="N52" s="1015" t="n"/>
    </row>
    <row r="53" ht="13.5" customHeight="1" s="614">
      <c r="A53" s="1243">
        <f>IF(ISNUMBER(A52),IF(MONTH(A52+1)=MONTH($A$8),A52+1,""),"")</f>
        <v/>
      </c>
      <c r="B53" s="1146">
        <f>IF(ISNUMBER(A53),A53,"")</f>
        <v/>
      </c>
      <c r="C53" s="1244">
        <f>IFERROR(IFERROR(IFERROR(IFERROR(IFERROR(INDEX(日常水質!$J$19:$N$19,MATCH($A53,日常水質!$J$14:$N$14,0)),INDEX(日常水質!$J$65:$N$65,MATCH($A53,日常水質!$J$60:$N$60,0))),INDEX(日常水質!$J$111:$N$111,MATCH($A53,日常水質!$J$106:$N$106,0))),INDEX(日常水質!$J$157:$N$157,MATCH($A53,日常水質!$J$152:$N$152,0))),INDEX(日常水質!$J$203:$N$203,MATCH($A53,日常水質!$J$198:$N$198,0))),"")</f>
        <v/>
      </c>
      <c r="D53" s="1245">
        <f>IFERROR(IFERROR(IFERROR(IFERROR(IFERROR(INDEX(日常水質!$J$20:$N$20,MATCH($A53,日常水質!$J$14:$N$14,0)),INDEX(日常水質!$J$66:$N$66,MATCH($A53,日常水質!$J$60:$N$60,0))),INDEX(日常水質!$J$112:$N$112,MATCH($A53,日常水質!$J$106:$N$106,0))),INDEX(日常水質!$J$158:$N$158,MATCH($A53,日常水質!$J$152:$N$152,0))),INDEX(日常水質!$J$204:$N$204,MATCH($A53,日常水質!$J$198:$N$198,0))),"")</f>
        <v/>
      </c>
      <c r="E53" s="1245" t="n"/>
      <c r="F53" s="1245">
        <f>IFERROR(IFERROR(IFERROR(IFERROR(IFERROR(INDEX(日常水質!$J$21:$N$21,MATCH($A53,日常水質!$J$14:$N$14,0)),INDEX(日常水質!$J$67:$N$67,MATCH($A53,日常水質!$J$60:$N$60,0))),INDEX(日常水質!$J$113:$N$113,MATCH($A53,日常水質!$J$106:$N$106,0))),INDEX(日常水質!$J$159:$N$159,MATCH($A53,日常水質!$J$152:$N$152,0))),INDEX(日常水質!$J$205:$N$205,MATCH($A53,日常水質!$J$198:$N$198,0))),"")</f>
        <v/>
      </c>
      <c r="G53" s="1246">
        <f>IFERROR(IFERROR(IFERROR(IFERROR(IFERROR(INDEX(日常水質!$J$24:$N$24,MATCH($A53,日常水質!$J$14:$N$14,0)),INDEX(日常水質!$J$70:$N$70,MATCH($A53,日常水質!$J$60:$N$60,0))),INDEX(日常水質!$J$116:$N$116,MATCH($A53,日常水質!$J$106:$N$106,0))),INDEX(日常水質!$J$162:$N$162,MATCH($A53,日常水質!$J$152:$N$152,0))),INDEX(日常水質!$J$208:$N$208,MATCH($A53,日常水質!$J$198:$N$198,0))),"")</f>
        <v/>
      </c>
      <c r="H53" s="1247">
        <f>IFERROR(IFERROR(IFERROR(IFERROR(IFERROR(INDEX(日常水質!$J$25:$N$25,MATCH($A53,日常水質!$J$14:$N$14,0)),INDEX(日常水質!$J$71:$N$71,MATCH($A53,日常水質!$J$60:$N$60,0))),INDEX(日常水質!$J$117:$N$117,MATCH($A53,日常水質!$J$106:$N$106,0))),INDEX(日常水質!$J$163:$N$163,MATCH($A53,日常水質!$J$152:$N$152,0))),INDEX(日常水質!$J$209:$N$209,MATCH($A53,日常水質!$J$198:$N$198,0))),"")</f>
        <v/>
      </c>
      <c r="I53" s="1248" t="n"/>
      <c r="J53" s="1249">
        <f>IFERROR(IFERROR(IFERROR(IFERROR(IFERROR(INDEX(日常水質!$J$26:$N$26,MATCH($A53,日常水質!$J$14:$N$14,0)),INDEX(日常水質!$J$72:$N$72,MATCH($A53,日常水質!$J$60:$N$60,0))),INDEX(日常水質!$J$118:$N$118,MATCH($A53,日常水質!$J$106:$N$106,0))),INDEX(日常水質!$J$164:$N$164,MATCH($A53,日常水質!$J$152:$N$152,0))),INDEX(日常水質!$J$210:$N$210,MATCH($A53,日常水質!$J$198:$N$198,0))),"")</f>
        <v/>
      </c>
      <c r="K53" s="1241" t="n"/>
      <c r="L53" s="1242" t="n"/>
      <c r="M53" s="1015" t="n"/>
      <c r="N53" s="1015" t="n"/>
    </row>
    <row r="54" ht="13.5" customHeight="1" s="614">
      <c r="A54" s="1243">
        <f>IF(ISNUMBER(A53),IF(MONTH(A53+1)=MONTH($A$8),A53+1,""),"")</f>
        <v/>
      </c>
      <c r="B54" s="1146">
        <f>IF(ISNUMBER(A54),A54,"")</f>
        <v/>
      </c>
      <c r="C54" s="1244">
        <f>IFERROR(IFERROR(IFERROR(IFERROR(IFERROR(INDEX(日常水質!$J$19:$N$19,MATCH($A54,日常水質!$J$14:$N$14,0)),INDEX(日常水質!$J$65:$N$65,MATCH($A54,日常水質!$J$60:$N$60,0))),INDEX(日常水質!$J$111:$N$111,MATCH($A54,日常水質!$J$106:$N$106,0))),INDEX(日常水質!$J$157:$N$157,MATCH($A54,日常水質!$J$152:$N$152,0))),INDEX(日常水質!$J$203:$N$203,MATCH($A54,日常水質!$J$198:$N$198,0))),"")</f>
        <v/>
      </c>
      <c r="D54" s="1245">
        <f>IFERROR(IFERROR(IFERROR(IFERROR(IFERROR(INDEX(日常水質!$J$20:$N$20,MATCH($A54,日常水質!$J$14:$N$14,0)),INDEX(日常水質!$J$66:$N$66,MATCH($A54,日常水質!$J$60:$N$60,0))),INDEX(日常水質!$J$112:$N$112,MATCH($A54,日常水質!$J$106:$N$106,0))),INDEX(日常水質!$J$158:$N$158,MATCH($A54,日常水質!$J$152:$N$152,0))),INDEX(日常水質!$J$204:$N$204,MATCH($A54,日常水質!$J$198:$N$198,0))),"")</f>
        <v/>
      </c>
      <c r="E54" s="1245" t="n"/>
      <c r="F54" s="1245">
        <f>IFERROR(IFERROR(IFERROR(IFERROR(IFERROR(INDEX(日常水質!$J$21:$N$21,MATCH($A54,日常水質!$J$14:$N$14,0)),INDEX(日常水質!$J$67:$N$67,MATCH($A54,日常水質!$J$60:$N$60,0))),INDEX(日常水質!$J$113:$N$113,MATCH($A54,日常水質!$J$106:$N$106,0))),INDEX(日常水質!$J$159:$N$159,MATCH($A54,日常水質!$J$152:$N$152,0))),INDEX(日常水質!$J$205:$N$205,MATCH($A54,日常水質!$J$198:$N$198,0))),"")</f>
        <v/>
      </c>
      <c r="G54" s="1246">
        <f>IFERROR(IFERROR(IFERROR(IFERROR(IFERROR(INDEX(日常水質!$J$24:$N$24,MATCH($A54,日常水質!$J$14:$N$14,0)),INDEX(日常水質!$J$70:$N$70,MATCH($A54,日常水質!$J$60:$N$60,0))),INDEX(日常水質!$J$116:$N$116,MATCH($A54,日常水質!$J$106:$N$106,0))),INDEX(日常水質!$J$162:$N$162,MATCH($A54,日常水質!$J$152:$N$152,0))),INDEX(日常水質!$J$208:$N$208,MATCH($A54,日常水質!$J$198:$N$198,0))),"")</f>
        <v/>
      </c>
      <c r="H54" s="1247">
        <f>IFERROR(IFERROR(IFERROR(IFERROR(IFERROR(INDEX(日常水質!$J$25:$N$25,MATCH($A54,日常水質!$J$14:$N$14,0)),INDEX(日常水質!$J$71:$N$71,MATCH($A54,日常水質!$J$60:$N$60,0))),INDEX(日常水質!$J$117:$N$117,MATCH($A54,日常水質!$J$106:$N$106,0))),INDEX(日常水質!$J$163:$N$163,MATCH($A54,日常水質!$J$152:$N$152,0))),INDEX(日常水質!$J$209:$N$209,MATCH($A54,日常水質!$J$198:$N$198,0))),"")</f>
        <v/>
      </c>
      <c r="I54" s="1248" t="n"/>
      <c r="J54" s="1249">
        <f>IFERROR(IFERROR(IFERROR(IFERROR(IFERROR(INDEX(日常水質!$J$26:$N$26,MATCH($A54,日常水質!$J$14:$N$14,0)),INDEX(日常水質!$J$72:$N$72,MATCH($A54,日常水質!$J$60:$N$60,0))),INDEX(日常水質!$J$118:$N$118,MATCH($A54,日常水質!$J$106:$N$106,0))),INDEX(日常水質!$J$164:$N$164,MATCH($A54,日常水質!$J$152:$N$152,0))),INDEX(日常水質!$J$210:$N$210,MATCH($A54,日常水質!$J$198:$N$198,0))),"")</f>
        <v/>
      </c>
      <c r="K54" s="1241" t="n"/>
      <c r="L54" s="1242" t="n"/>
      <c r="M54" s="1015" t="n"/>
      <c r="N54" s="1015" t="n"/>
    </row>
    <row r="55" ht="13.5" customHeight="1" s="614">
      <c r="A55" s="1243">
        <f>IF(ISNUMBER(A54),IF(MONTH(A54+1)=MONTH($A$8),A54+1,""),"")</f>
        <v/>
      </c>
      <c r="B55" s="1146">
        <f>IF(ISNUMBER(A55),A55,"")</f>
        <v/>
      </c>
      <c r="C55" s="1184">
        <f>IFERROR(IFERROR(IFERROR(IFERROR(IFERROR(INDEX(日常水質!$J$19:$N$19,MATCH($A55,日常水質!$J$14:$N$14,0)),INDEX(日常水質!$J$65:$N$65,MATCH($A55,日常水質!$J$60:$N$60,0))),INDEX(日常水質!$J$111:$N$111,MATCH($A55,日常水質!$J$106:$N$106,0))),INDEX(日常水質!$J$157:$N$157,MATCH($A55,日常水質!$J$152:$N$152,0))),INDEX(日常水質!$J$203:$N$203,MATCH($A55,日常水質!$J$198:$N$198,0))),"")</f>
        <v/>
      </c>
      <c r="D55" s="1053">
        <f>IFERROR(IFERROR(IFERROR(IFERROR(IFERROR(INDEX(日常水質!$J$20:$N$20,MATCH($A55,日常水質!$J$14:$N$14,0)),INDEX(日常水質!$J$66:$N$66,MATCH($A55,日常水質!$J$60:$N$60,0))),INDEX(日常水質!$J$112:$N$112,MATCH($A55,日常水質!$J$106:$N$106,0))),INDEX(日常水質!$J$158:$N$158,MATCH($A55,日常水質!$J$152:$N$152,0))),INDEX(日常水質!$J$204:$N$204,MATCH($A55,日常水質!$J$198:$N$198,0))),"")</f>
        <v/>
      </c>
      <c r="E55" s="1053" t="n"/>
      <c r="F55" s="1053">
        <f>IFERROR(IFERROR(IFERROR(IFERROR(IFERROR(INDEX(日常水質!$J$21:$N$21,MATCH($A55,日常水質!$J$14:$N$14,0)),INDEX(日常水質!$J$67:$N$67,MATCH($A55,日常水質!$J$60:$N$60,0))),INDEX(日常水質!$J$113:$N$113,MATCH($A55,日常水質!$J$106:$N$106,0))),INDEX(日常水質!$J$159:$N$159,MATCH($A55,日常水質!$J$152:$N$152,0))),INDEX(日常水質!$J$205:$N$205,MATCH($A55,日常水質!$J$198:$N$198,0))),"")</f>
        <v/>
      </c>
      <c r="G55" s="1182">
        <f>IFERROR(IFERROR(IFERROR(IFERROR(IFERROR(INDEX(日常水質!$J$24:$N$24,MATCH($A55,日常水質!$J$14:$N$14,0)),INDEX(日常水質!$J$70:$N$70,MATCH($A55,日常水質!$J$60:$N$60,0))),INDEX(日常水質!$J$116:$N$116,MATCH($A55,日常水質!$J$106:$N$106,0))),INDEX(日常水質!$J$162:$N$162,MATCH($A55,日常水質!$J$152:$N$152,0))),INDEX(日常水質!$J$208:$N$208,MATCH($A55,日常水質!$J$198:$N$198,0))),"")</f>
        <v/>
      </c>
      <c r="H55" s="1238">
        <f>IFERROR(IFERROR(IFERROR(IFERROR(IFERROR(INDEX(日常水質!$J$25:$N$25,MATCH($A55,日常水質!$J$14:$N$14,0)),INDEX(日常水質!$J$71:$N$71,MATCH($A55,日常水質!$J$60:$N$60,0))),INDEX(日常水質!$J$117:$N$117,MATCH($A55,日常水質!$J$106:$N$106,0))),INDEX(日常水質!$J$163:$N$163,MATCH($A55,日常水質!$J$152:$N$152,0))),INDEX(日常水質!$J$209:$N$209,MATCH($A55,日常水質!$J$198:$N$198,0))),"")</f>
        <v/>
      </c>
      <c r="I55" s="1239" t="n"/>
      <c r="J55" s="1240">
        <f>IFERROR(IFERROR(IFERROR(IFERROR(IFERROR(INDEX(日常水質!$J$26:$N$26,MATCH($A55,日常水質!$J$14:$N$14,0)),INDEX(日常水質!$J$72:$N$72,MATCH($A55,日常水質!$J$60:$N$60,0))),INDEX(日常水質!$J$118:$N$118,MATCH($A55,日常水質!$J$106:$N$106,0))),INDEX(日常水質!$J$164:$N$164,MATCH($A55,日常水質!$J$152:$N$152,0))),INDEX(日常水質!$J$210:$N$210,MATCH($A55,日常水質!$J$198:$N$198,0))),"")</f>
        <v/>
      </c>
      <c r="K55" s="1241" t="n"/>
      <c r="L55" s="1242" t="n"/>
      <c r="M55" s="1015" t="n"/>
      <c r="N55" s="1015" t="n"/>
    </row>
    <row r="56" ht="13.5" customHeight="1" s="614">
      <c r="A56" s="1243">
        <f>IF(ISNUMBER(A55),IF(MONTH(A55+1)=MONTH($A$8),A55+1,""),"")</f>
        <v/>
      </c>
      <c r="B56" s="1146">
        <f>IF(ISNUMBER(A56),A56,"")</f>
        <v/>
      </c>
      <c r="C56" s="1184">
        <f>IFERROR(IFERROR(IFERROR(IFERROR(IFERROR(INDEX(日常水質!$J$19:$N$19,MATCH($A56,日常水質!$J$14:$N$14,0)),INDEX(日常水質!$J$65:$N$65,MATCH($A56,日常水質!$J$60:$N$60,0))),INDEX(日常水質!$J$111:$N$111,MATCH($A56,日常水質!$J$106:$N$106,0))),INDEX(日常水質!$J$157:$N$157,MATCH($A56,日常水質!$J$152:$N$152,0))),INDEX(日常水質!$J$203:$N$203,MATCH($A56,日常水質!$J$198:$N$198,0))),"")</f>
        <v/>
      </c>
      <c r="D56" s="1053">
        <f>IFERROR(IFERROR(IFERROR(IFERROR(IFERROR(INDEX(日常水質!$J$20:$N$20,MATCH($A56,日常水質!$J$14:$N$14,0)),INDEX(日常水質!$J$66:$N$66,MATCH($A56,日常水質!$J$60:$N$60,0))),INDEX(日常水質!$J$112:$N$112,MATCH($A56,日常水質!$J$106:$N$106,0))),INDEX(日常水質!$J$158:$N$158,MATCH($A56,日常水質!$J$152:$N$152,0))),INDEX(日常水質!$J$204:$N$204,MATCH($A56,日常水質!$J$198:$N$198,0))),"")</f>
        <v/>
      </c>
      <c r="E56" s="1053" t="n"/>
      <c r="F56" s="1053">
        <f>IFERROR(IFERROR(IFERROR(IFERROR(IFERROR(INDEX(日常水質!$J$21:$N$21,MATCH($A56,日常水質!$J$14:$N$14,0)),INDEX(日常水質!$J$67:$N$67,MATCH($A56,日常水質!$J$60:$N$60,0))),INDEX(日常水質!$J$113:$N$113,MATCH($A56,日常水質!$J$106:$N$106,0))),INDEX(日常水質!$J$159:$N$159,MATCH($A56,日常水質!$J$152:$N$152,0))),INDEX(日常水質!$J$205:$N$205,MATCH($A56,日常水質!$J$198:$N$198,0))),"")</f>
        <v/>
      </c>
      <c r="G56" s="1182">
        <f>IFERROR(IFERROR(IFERROR(IFERROR(IFERROR(INDEX(日常水質!$J$24:$N$24,MATCH($A56,日常水質!$J$14:$N$14,0)),INDEX(日常水質!$J$70:$N$70,MATCH($A56,日常水質!$J$60:$N$60,0))),INDEX(日常水質!$J$116:$N$116,MATCH($A56,日常水質!$J$106:$N$106,0))),INDEX(日常水質!$J$162:$N$162,MATCH($A56,日常水質!$J$152:$N$152,0))),INDEX(日常水質!$J$208:$N$208,MATCH($A56,日常水質!$J$198:$N$198,0))),"")</f>
        <v/>
      </c>
      <c r="H56" s="1238">
        <f>IFERROR(IFERROR(IFERROR(IFERROR(IFERROR(INDEX(日常水質!$J$25:$N$25,MATCH($A56,日常水質!$J$14:$N$14,0)),INDEX(日常水質!$J$71:$N$71,MATCH($A56,日常水質!$J$60:$N$60,0))),INDEX(日常水質!$J$117:$N$117,MATCH($A56,日常水質!$J$106:$N$106,0))),INDEX(日常水質!$J$163:$N$163,MATCH($A56,日常水質!$J$152:$N$152,0))),INDEX(日常水質!$J$209:$N$209,MATCH($A56,日常水質!$J$198:$N$198,0))),"")</f>
        <v/>
      </c>
      <c r="I56" s="1239" t="n"/>
      <c r="J56" s="1240">
        <f>IFERROR(IFERROR(IFERROR(IFERROR(IFERROR(INDEX(日常水質!$J$26:$N$26,MATCH($A56,日常水質!$J$14:$N$14,0)),INDEX(日常水質!$J$72:$N$72,MATCH($A56,日常水質!$J$60:$N$60,0))),INDEX(日常水質!$J$118:$N$118,MATCH($A56,日常水質!$J$106:$N$106,0))),INDEX(日常水質!$J$164:$N$164,MATCH($A56,日常水質!$J$152:$N$152,0))),INDEX(日常水質!$J$210:$N$210,MATCH($A56,日常水質!$J$198:$N$198,0))),"")</f>
        <v/>
      </c>
      <c r="K56" s="1241" t="n"/>
      <c r="L56" s="1242" t="n"/>
      <c r="M56" s="1015" t="n"/>
      <c r="N56" s="1015" t="n"/>
    </row>
    <row r="57" ht="13.5" customHeight="1" s="614">
      <c r="A57" s="1243">
        <f>IF(ISNUMBER(A56),IF(MONTH(A56+1)=MONTH($A$8),A56+1,""),"")</f>
        <v/>
      </c>
      <c r="B57" s="1146">
        <f>IF(ISNUMBER(A57),A57,"")</f>
        <v/>
      </c>
      <c r="C57" s="1244">
        <f>IFERROR(IFERROR(IFERROR(IFERROR(IFERROR(INDEX(日常水質!$J$19:$N$19,MATCH($A57,日常水質!$J$14:$N$14,0)),INDEX(日常水質!$J$65:$N$65,MATCH($A57,日常水質!$J$60:$N$60,0))),INDEX(日常水質!$J$111:$N$111,MATCH($A57,日常水質!$J$106:$N$106,0))),INDEX(日常水質!$J$157:$N$157,MATCH($A57,日常水質!$J$152:$N$152,0))),INDEX(日常水質!$J$203:$N$203,MATCH($A57,日常水質!$J$198:$N$198,0))),"")</f>
        <v/>
      </c>
      <c r="D57" s="1245">
        <f>IFERROR(IFERROR(IFERROR(IFERROR(IFERROR(INDEX(日常水質!$J$20:$N$20,MATCH($A57,日常水質!$J$14:$N$14,0)),INDEX(日常水質!$J$66:$N$66,MATCH($A57,日常水質!$J$60:$N$60,0))),INDEX(日常水質!$J$112:$N$112,MATCH($A57,日常水質!$J$106:$N$106,0))),INDEX(日常水質!$J$158:$N$158,MATCH($A57,日常水質!$J$152:$N$152,0))),INDEX(日常水質!$J$204:$N$204,MATCH($A57,日常水質!$J$198:$N$198,0))),"")</f>
        <v/>
      </c>
      <c r="E57" s="1245" t="n"/>
      <c r="F57" s="1245">
        <f>IFERROR(IFERROR(IFERROR(IFERROR(IFERROR(INDEX(日常水質!$J$21:$N$21,MATCH($A57,日常水質!$J$14:$N$14,0)),INDEX(日常水質!$J$67:$N$67,MATCH($A57,日常水質!$J$60:$N$60,0))),INDEX(日常水質!$J$113:$N$113,MATCH($A57,日常水質!$J$106:$N$106,0))),INDEX(日常水質!$J$159:$N$159,MATCH($A57,日常水質!$J$152:$N$152,0))),INDEX(日常水質!$J$205:$N$205,MATCH($A57,日常水質!$J$198:$N$198,0))),"")</f>
        <v/>
      </c>
      <c r="G57" s="1246">
        <f>IFERROR(IFERROR(IFERROR(IFERROR(IFERROR(INDEX(日常水質!$J$24:$N$24,MATCH($A57,日常水質!$J$14:$N$14,0)),INDEX(日常水質!$J$70:$N$70,MATCH($A57,日常水質!$J$60:$N$60,0))),INDEX(日常水質!$J$116:$N$116,MATCH($A57,日常水質!$J$106:$N$106,0))),INDEX(日常水質!$J$162:$N$162,MATCH($A57,日常水質!$J$152:$N$152,0))),INDEX(日常水質!$J$208:$N$208,MATCH($A57,日常水質!$J$198:$N$198,0))),"")</f>
        <v/>
      </c>
      <c r="H57" s="1247">
        <f>IFERROR(IFERROR(IFERROR(IFERROR(IFERROR(INDEX(日常水質!$J$25:$N$25,MATCH($A57,日常水質!$J$14:$N$14,0)),INDEX(日常水質!$J$71:$N$71,MATCH($A57,日常水質!$J$60:$N$60,0))),INDEX(日常水質!$J$117:$N$117,MATCH($A57,日常水質!$J$106:$N$106,0))),INDEX(日常水質!$J$163:$N$163,MATCH($A57,日常水質!$J$152:$N$152,0))),INDEX(日常水質!$J$209:$N$209,MATCH($A57,日常水質!$J$198:$N$198,0))),"")</f>
        <v/>
      </c>
      <c r="I57" s="1248" t="n"/>
      <c r="J57" s="1249">
        <f>IFERROR(IFERROR(IFERROR(IFERROR(IFERROR(INDEX(日常水質!$J$26:$N$26,MATCH($A57,日常水質!$J$14:$N$14,0)),INDEX(日常水質!$J$72:$N$72,MATCH($A57,日常水質!$J$60:$N$60,0))),INDEX(日常水質!$J$118:$N$118,MATCH($A57,日常水質!$J$106:$N$106,0))),INDEX(日常水質!$J$164:$N$164,MATCH($A57,日常水質!$J$152:$N$152,0))),INDEX(日常水質!$J$210:$N$210,MATCH($A57,日常水質!$J$198:$N$198,0))),"")</f>
        <v/>
      </c>
      <c r="K57" s="1241" t="n"/>
      <c r="L57" s="1242" t="n"/>
      <c r="M57" s="1015" t="n"/>
      <c r="N57" s="1015" t="n"/>
    </row>
    <row r="58" ht="13.5" customHeight="1" s="614">
      <c r="A58" s="1243">
        <f>IF(ISNUMBER(A57),IF(MONTH(A57+1)=MONTH($A$8),A57+1,""),"")</f>
        <v/>
      </c>
      <c r="B58" s="1146">
        <f>IF(ISNUMBER(A58),A58,"")</f>
        <v/>
      </c>
      <c r="C58" s="1244">
        <f>IFERROR(IFERROR(IFERROR(IFERROR(IFERROR(INDEX(日常水質!$J$19:$N$19,MATCH($A58,日常水質!$J$14:$N$14,0)),INDEX(日常水質!$J$65:$N$65,MATCH($A58,日常水質!$J$60:$N$60,0))),INDEX(日常水質!$J$111:$N$111,MATCH($A58,日常水質!$J$106:$N$106,0))),INDEX(日常水質!$J$157:$N$157,MATCH($A58,日常水質!$J$152:$N$152,0))),INDEX(日常水質!$J$203:$N$203,MATCH($A58,日常水質!$J$198:$N$198,0))),"")</f>
        <v/>
      </c>
      <c r="D58" s="1245">
        <f>IFERROR(IFERROR(IFERROR(IFERROR(IFERROR(INDEX(日常水質!$J$20:$N$20,MATCH($A58,日常水質!$J$14:$N$14,0)),INDEX(日常水質!$J$66:$N$66,MATCH($A58,日常水質!$J$60:$N$60,0))),INDEX(日常水質!$J$112:$N$112,MATCH($A58,日常水質!$J$106:$N$106,0))),INDEX(日常水質!$J$158:$N$158,MATCH($A58,日常水質!$J$152:$N$152,0))),INDEX(日常水質!$J$204:$N$204,MATCH($A58,日常水質!$J$198:$N$198,0))),"")</f>
        <v/>
      </c>
      <c r="E58" s="1245" t="n"/>
      <c r="F58" s="1245">
        <f>IFERROR(IFERROR(IFERROR(IFERROR(IFERROR(INDEX(日常水質!$J$21:$N$21,MATCH($A58,日常水質!$J$14:$N$14,0)),INDEX(日常水質!$J$67:$N$67,MATCH($A58,日常水質!$J$60:$N$60,0))),INDEX(日常水質!$J$113:$N$113,MATCH($A58,日常水質!$J$106:$N$106,0))),INDEX(日常水質!$J$159:$N$159,MATCH($A58,日常水質!$J$152:$N$152,0))),INDEX(日常水質!$J$205:$N$205,MATCH($A58,日常水質!$J$198:$N$198,0))),"")</f>
        <v/>
      </c>
      <c r="G58" s="1246">
        <f>IFERROR(IFERROR(IFERROR(IFERROR(IFERROR(INDEX(日常水質!$J$24:$N$24,MATCH($A58,日常水質!$J$14:$N$14,0)),INDEX(日常水質!$J$70:$N$70,MATCH($A58,日常水質!$J$60:$N$60,0))),INDEX(日常水質!$J$116:$N$116,MATCH($A58,日常水質!$J$106:$N$106,0))),INDEX(日常水質!$J$162:$N$162,MATCH($A58,日常水質!$J$152:$N$152,0))),INDEX(日常水質!$J$208:$N$208,MATCH($A58,日常水質!$J$198:$N$198,0))),"")</f>
        <v/>
      </c>
      <c r="H58" s="1247">
        <f>IFERROR(IFERROR(IFERROR(IFERROR(IFERROR(INDEX(日常水質!$J$25:$N$25,MATCH($A58,日常水質!$J$14:$N$14,0)),INDEX(日常水質!$J$71:$N$71,MATCH($A58,日常水質!$J$60:$N$60,0))),INDEX(日常水質!$J$117:$N$117,MATCH($A58,日常水質!$J$106:$N$106,0))),INDEX(日常水質!$J$163:$N$163,MATCH($A58,日常水質!$J$152:$N$152,0))),INDEX(日常水質!$J$209:$N$209,MATCH($A58,日常水質!$J$198:$N$198,0))),"")</f>
        <v/>
      </c>
      <c r="I58" s="1248" t="n"/>
      <c r="J58" s="1249">
        <f>IFERROR(IFERROR(IFERROR(IFERROR(IFERROR(INDEX(日常水質!$J$26:$N$26,MATCH($A58,日常水質!$J$14:$N$14,0)),INDEX(日常水質!$J$72:$N$72,MATCH($A58,日常水質!$J$60:$N$60,0))),INDEX(日常水質!$J$118:$N$118,MATCH($A58,日常水質!$J$106:$N$106,0))),INDEX(日常水質!$J$164:$N$164,MATCH($A58,日常水質!$J$152:$N$152,0))),INDEX(日常水質!$J$210:$N$210,MATCH($A58,日常水質!$J$198:$N$198,0))),"")</f>
        <v/>
      </c>
      <c r="K58" s="1241" t="n"/>
      <c r="L58" s="1242" t="n"/>
      <c r="M58" s="1015" t="n"/>
      <c r="N58" s="1015" t="n"/>
    </row>
    <row r="59" ht="13.5" customHeight="1" s="614">
      <c r="A59" s="1243">
        <f>IF(ISNUMBER(A58),IF(MONTH(A58+1)=MONTH($A$8),A58+1,""),"")</f>
        <v/>
      </c>
      <c r="B59" s="1146">
        <f>IF(ISNUMBER(A59),A59,"")</f>
        <v/>
      </c>
      <c r="C59" s="1184">
        <f>IFERROR(IFERROR(IFERROR(IFERROR(IFERROR(INDEX(日常水質!$J$19:$N$19,MATCH($A59,日常水質!$J$14:$N$14,0)),INDEX(日常水質!$J$65:$N$65,MATCH($A59,日常水質!$J$60:$N$60,0))),INDEX(日常水質!$J$111:$N$111,MATCH($A59,日常水質!$J$106:$N$106,0))),INDEX(日常水質!$J$157:$N$157,MATCH($A59,日常水質!$J$152:$N$152,0))),INDEX(日常水質!$J$203:$N$203,MATCH($A59,日常水質!$J$198:$N$198,0))),"")</f>
        <v/>
      </c>
      <c r="D59" s="1053">
        <f>IFERROR(IFERROR(IFERROR(IFERROR(IFERROR(INDEX(日常水質!$J$20:$N$20,MATCH($A59,日常水質!$J$14:$N$14,0)),INDEX(日常水質!$J$66:$N$66,MATCH($A59,日常水質!$J$60:$N$60,0))),INDEX(日常水質!$J$112:$N$112,MATCH($A59,日常水質!$J$106:$N$106,0))),INDEX(日常水質!$J$158:$N$158,MATCH($A59,日常水質!$J$152:$N$152,0))),INDEX(日常水質!$J$204:$N$204,MATCH($A59,日常水質!$J$198:$N$198,0))),"")</f>
        <v/>
      </c>
      <c r="E59" s="1053" t="n"/>
      <c r="F59" s="1053">
        <f>IFERROR(IFERROR(IFERROR(IFERROR(IFERROR(INDEX(日常水質!$J$21:$N$21,MATCH($A59,日常水質!$J$14:$N$14,0)),INDEX(日常水質!$J$67:$N$67,MATCH($A59,日常水質!$J$60:$N$60,0))),INDEX(日常水質!$J$113:$N$113,MATCH($A59,日常水質!$J$106:$N$106,0))),INDEX(日常水質!$J$159:$N$159,MATCH($A59,日常水質!$J$152:$N$152,0))),INDEX(日常水質!$J$205:$N$205,MATCH($A59,日常水質!$J$198:$N$198,0))),"")</f>
        <v/>
      </c>
      <c r="G59" s="1182">
        <f>IFERROR(IFERROR(IFERROR(IFERROR(IFERROR(INDEX(日常水質!$J$24:$N$24,MATCH($A59,日常水質!$J$14:$N$14,0)),INDEX(日常水質!$J$70:$N$70,MATCH($A59,日常水質!$J$60:$N$60,0))),INDEX(日常水質!$J$116:$N$116,MATCH($A59,日常水質!$J$106:$N$106,0))),INDEX(日常水質!$J$162:$N$162,MATCH($A59,日常水質!$J$152:$N$152,0))),INDEX(日常水質!$J$208:$N$208,MATCH($A59,日常水質!$J$198:$N$198,0))),"")</f>
        <v/>
      </c>
      <c r="H59" s="1238">
        <f>IFERROR(IFERROR(IFERROR(IFERROR(IFERROR(INDEX(日常水質!$J$25:$N$25,MATCH($A59,日常水質!$J$14:$N$14,0)),INDEX(日常水質!$J$71:$N$71,MATCH($A59,日常水質!$J$60:$N$60,0))),INDEX(日常水質!$J$117:$N$117,MATCH($A59,日常水質!$J$106:$N$106,0))),INDEX(日常水質!$J$163:$N$163,MATCH($A59,日常水質!$J$152:$N$152,0))),INDEX(日常水質!$J$209:$N$209,MATCH($A59,日常水質!$J$198:$N$198,0))),"")</f>
        <v/>
      </c>
      <c r="I59" s="1239" t="n"/>
      <c r="J59" s="1240">
        <f>IFERROR(IFERROR(IFERROR(IFERROR(IFERROR(INDEX(日常水質!$J$26:$N$26,MATCH($A59,日常水質!$J$14:$N$14,0)),INDEX(日常水質!$J$72:$N$72,MATCH($A59,日常水質!$J$60:$N$60,0))),INDEX(日常水質!$J$118:$N$118,MATCH($A59,日常水質!$J$106:$N$106,0))),INDEX(日常水質!$J$164:$N$164,MATCH($A59,日常水質!$J$152:$N$152,0))),INDEX(日常水質!$J$210:$N$210,MATCH($A59,日常水質!$J$198:$N$198,0))),"")</f>
        <v/>
      </c>
      <c r="K59" s="1241" t="n"/>
      <c r="L59" s="1242" t="n"/>
      <c r="M59" s="1015" t="n"/>
      <c r="N59" s="1015" t="n"/>
    </row>
    <row r="60" ht="13.5" customHeight="1" s="614">
      <c r="A60" s="1243">
        <f>IF(ISNUMBER(A59),IF(MONTH(A59+1)=MONTH($A$8),A59+1,""),"")</f>
        <v/>
      </c>
      <c r="B60" s="1146">
        <f>IF(ISNUMBER(A60),A60,"")</f>
        <v/>
      </c>
      <c r="C60" s="1244">
        <f>IFERROR(IFERROR(IFERROR(IFERROR(IFERROR(INDEX(日常水質!$J$19:$N$19,MATCH($A60,日常水質!$J$14:$N$14,0)),INDEX(日常水質!$J$65:$N$65,MATCH($A60,日常水質!$J$60:$N$60,0))),INDEX(日常水質!$J$111:$N$111,MATCH($A60,日常水質!$J$106:$N$106,0))),INDEX(日常水質!$J$157:$N$157,MATCH($A60,日常水質!$J$152:$N$152,0))),INDEX(日常水質!$J$203:$N$203,MATCH($A60,日常水質!$J$198:$N$198,0))),"")</f>
        <v/>
      </c>
      <c r="D60" s="1245">
        <f>IFERROR(IFERROR(IFERROR(IFERROR(IFERROR(INDEX(日常水質!$J$20:$N$20,MATCH($A60,日常水質!$J$14:$N$14,0)),INDEX(日常水質!$J$66:$N$66,MATCH($A60,日常水質!$J$60:$N$60,0))),INDEX(日常水質!$J$112:$N$112,MATCH($A60,日常水質!$J$106:$N$106,0))),INDEX(日常水質!$J$158:$N$158,MATCH($A60,日常水質!$J$152:$N$152,0))),INDEX(日常水質!$J$204:$N$204,MATCH($A60,日常水質!$J$198:$N$198,0))),"")</f>
        <v/>
      </c>
      <c r="E60" s="1245" t="n"/>
      <c r="F60" s="1245">
        <f>IFERROR(IFERROR(IFERROR(IFERROR(IFERROR(INDEX(日常水質!$J$21:$N$21,MATCH($A60,日常水質!$J$14:$N$14,0)),INDEX(日常水質!$J$67:$N$67,MATCH($A60,日常水質!$J$60:$N$60,0))),INDEX(日常水質!$J$113:$N$113,MATCH($A60,日常水質!$J$106:$N$106,0))),INDEX(日常水質!$J$159:$N$159,MATCH($A60,日常水質!$J$152:$N$152,0))),INDEX(日常水質!$J$205:$N$205,MATCH($A60,日常水質!$J$198:$N$198,0))),"")</f>
        <v/>
      </c>
      <c r="G60" s="1246">
        <f>IFERROR(IFERROR(IFERROR(IFERROR(IFERROR(INDEX(日常水質!$J$24:$N$24,MATCH($A60,日常水質!$J$14:$N$14,0)),INDEX(日常水質!$J$70:$N$70,MATCH($A60,日常水質!$J$60:$N$60,0))),INDEX(日常水質!$J$116:$N$116,MATCH($A60,日常水質!$J$106:$N$106,0))),INDEX(日常水質!$J$162:$N$162,MATCH($A60,日常水質!$J$152:$N$152,0))),INDEX(日常水質!$J$208:$N$208,MATCH($A60,日常水質!$J$198:$N$198,0))),"")</f>
        <v/>
      </c>
      <c r="H60" s="1247">
        <f>IFERROR(IFERROR(IFERROR(IFERROR(IFERROR(INDEX(日常水質!$J$25:$N$25,MATCH($A60,日常水質!$J$14:$N$14,0)),INDEX(日常水質!$J$71:$N$71,MATCH($A60,日常水質!$J$60:$N$60,0))),INDEX(日常水質!$J$117:$N$117,MATCH($A60,日常水質!$J$106:$N$106,0))),INDEX(日常水質!$J$163:$N$163,MATCH($A60,日常水質!$J$152:$N$152,0))),INDEX(日常水質!$J$209:$N$209,MATCH($A60,日常水質!$J$198:$N$198,0))),"")</f>
        <v/>
      </c>
      <c r="I60" s="1248" t="n"/>
      <c r="J60" s="1249">
        <f>IFERROR(IFERROR(IFERROR(IFERROR(IFERROR(INDEX(日常水質!$J$26:$N$26,MATCH($A60,日常水質!$J$14:$N$14,0)),INDEX(日常水質!$J$72:$N$72,MATCH($A60,日常水質!$J$60:$N$60,0))),INDEX(日常水質!$J$118:$N$118,MATCH($A60,日常水質!$J$106:$N$106,0))),INDEX(日常水質!$J$164:$N$164,MATCH($A60,日常水質!$J$152:$N$152,0))),INDEX(日常水質!$J$210:$N$210,MATCH($A60,日常水質!$J$198:$N$198,0))),"")</f>
        <v/>
      </c>
      <c r="K60" s="1241" t="n"/>
      <c r="L60" s="1242" t="n"/>
      <c r="M60" s="1015" t="n"/>
      <c r="N60" s="1015" t="n"/>
    </row>
    <row r="61" ht="13.5" customHeight="1" s="614">
      <c r="A61" s="1243">
        <f>IF(ISNUMBER(A60),IF(MONTH(A60+1)=MONTH($A$8),A60+1,""),"")</f>
        <v/>
      </c>
      <c r="B61" s="1146">
        <f>IF(ISNUMBER(A61),A61,"")</f>
        <v/>
      </c>
      <c r="C61" s="1244">
        <f>IFERROR(IFERROR(IFERROR(IFERROR(IFERROR(INDEX(日常水質!$J$19:$N$19,MATCH($A61,日常水質!$J$14:$N$14,0)),INDEX(日常水質!$J$65:$N$65,MATCH($A61,日常水質!$J$60:$N$60,0))),INDEX(日常水質!$J$111:$N$111,MATCH($A61,日常水質!$J$106:$N$106,0))),INDEX(日常水質!$J$157:$N$157,MATCH($A61,日常水質!$J$152:$N$152,0))),INDEX(日常水質!$J$203:$N$203,MATCH($A61,日常水質!$J$198:$N$198,0))),"")</f>
        <v/>
      </c>
      <c r="D61" s="1245">
        <f>IFERROR(IFERROR(IFERROR(IFERROR(IFERROR(INDEX(日常水質!$J$20:$N$20,MATCH($A61,日常水質!$J$14:$N$14,0)),INDEX(日常水質!$J$66:$N$66,MATCH($A61,日常水質!$J$60:$N$60,0))),INDEX(日常水質!$J$112:$N$112,MATCH($A61,日常水質!$J$106:$N$106,0))),INDEX(日常水質!$J$158:$N$158,MATCH($A61,日常水質!$J$152:$N$152,0))),INDEX(日常水質!$J$204:$N$204,MATCH($A61,日常水質!$J$198:$N$198,0))),"")</f>
        <v/>
      </c>
      <c r="E61" s="1245" t="n"/>
      <c r="F61" s="1245">
        <f>IFERROR(IFERROR(IFERROR(IFERROR(IFERROR(INDEX(日常水質!$J$21:$N$21,MATCH($A61,日常水質!$J$14:$N$14,0)),INDEX(日常水質!$J$67:$N$67,MATCH($A61,日常水質!$J$60:$N$60,0))),INDEX(日常水質!$J$113:$N$113,MATCH($A61,日常水質!$J$106:$N$106,0))),INDEX(日常水質!$J$159:$N$159,MATCH($A61,日常水質!$J$152:$N$152,0))),INDEX(日常水質!$J$205:$N$205,MATCH($A61,日常水質!$J$198:$N$198,0))),"")</f>
        <v/>
      </c>
      <c r="G61" s="1246">
        <f>IFERROR(IFERROR(IFERROR(IFERROR(IFERROR(INDEX(日常水質!$J$24:$N$24,MATCH($A61,日常水質!$J$14:$N$14,0)),INDEX(日常水質!$J$70:$N$70,MATCH($A61,日常水質!$J$60:$N$60,0))),INDEX(日常水質!$J$116:$N$116,MATCH($A61,日常水質!$J$106:$N$106,0))),INDEX(日常水質!$J$162:$N$162,MATCH($A61,日常水質!$J$152:$N$152,0))),INDEX(日常水質!$J$208:$N$208,MATCH($A61,日常水質!$J$198:$N$198,0))),"")</f>
        <v/>
      </c>
      <c r="H61" s="1247">
        <f>IFERROR(IFERROR(IFERROR(IFERROR(IFERROR(INDEX(日常水質!$J$25:$N$25,MATCH($A61,日常水質!$J$14:$N$14,0)),INDEX(日常水質!$J$71:$N$71,MATCH($A61,日常水質!$J$60:$N$60,0))),INDEX(日常水質!$J$117:$N$117,MATCH($A61,日常水質!$J$106:$N$106,0))),INDEX(日常水質!$J$163:$N$163,MATCH($A61,日常水質!$J$152:$N$152,0))),INDEX(日常水質!$J$209:$N$209,MATCH($A61,日常水質!$J$198:$N$198,0))),"")</f>
        <v/>
      </c>
      <c r="I61" s="1248" t="n"/>
      <c r="J61" s="1249">
        <f>IFERROR(IFERROR(IFERROR(IFERROR(IFERROR(INDEX(日常水質!$J$26:$N$26,MATCH($A61,日常水質!$J$14:$N$14,0)),INDEX(日常水質!$J$72:$N$72,MATCH($A61,日常水質!$J$60:$N$60,0))),INDEX(日常水質!$J$118:$N$118,MATCH($A61,日常水質!$J$106:$N$106,0))),INDEX(日常水質!$J$164:$N$164,MATCH($A61,日常水質!$J$152:$N$152,0))),INDEX(日常水質!$J$210:$N$210,MATCH($A61,日常水質!$J$198:$N$198,0))),"")</f>
        <v/>
      </c>
      <c r="K61" s="1241" t="n"/>
      <c r="L61" s="1242" t="n"/>
      <c r="M61" s="1015" t="n"/>
      <c r="N61" s="1015" t="n"/>
    </row>
    <row r="62" ht="13.5" customHeight="1" s="614">
      <c r="A62" s="1243">
        <f>IF(ISNUMBER(A61),IF(MONTH(A61+1)=MONTH($A$8),A61+1,""),"")</f>
        <v/>
      </c>
      <c r="B62" s="1146">
        <f>IF(ISNUMBER(A62),A62,"")</f>
        <v/>
      </c>
      <c r="C62" s="1184">
        <f>IFERROR(IFERROR(IFERROR(IFERROR(IFERROR(INDEX(日常水質!$J$19:$N$19,MATCH($A62,日常水質!$J$14:$N$14,0)),INDEX(日常水質!$J$65:$N$65,MATCH($A62,日常水質!$J$60:$N$60,0))),INDEX(日常水質!$J$111:$N$111,MATCH($A62,日常水質!$J$106:$N$106,0))),INDEX(日常水質!$J$157:$N$157,MATCH($A62,日常水質!$J$152:$N$152,0))),INDEX(日常水質!$J$203:$N$203,MATCH($A62,日常水質!$J$198:$N$198,0))),"")</f>
        <v/>
      </c>
      <c r="D62" s="1053">
        <f>IFERROR(IFERROR(IFERROR(IFERROR(IFERROR(INDEX(日常水質!$J$20:$N$20,MATCH($A62,日常水質!$J$14:$N$14,0)),INDEX(日常水質!$J$66:$N$66,MATCH($A62,日常水質!$J$60:$N$60,0))),INDEX(日常水質!$J$112:$N$112,MATCH($A62,日常水質!$J$106:$N$106,0))),INDEX(日常水質!$J$158:$N$158,MATCH($A62,日常水質!$J$152:$N$152,0))),INDEX(日常水質!$J$204:$N$204,MATCH($A62,日常水質!$J$198:$N$198,0))),"")</f>
        <v/>
      </c>
      <c r="E62" s="1053" t="n"/>
      <c r="F62" s="1053">
        <f>IFERROR(IFERROR(IFERROR(IFERROR(IFERROR(INDEX(日常水質!$J$21:$N$21,MATCH($A62,日常水質!$J$14:$N$14,0)),INDEX(日常水質!$J$67:$N$67,MATCH($A62,日常水質!$J$60:$N$60,0))),INDEX(日常水質!$J$113:$N$113,MATCH($A62,日常水質!$J$106:$N$106,0))),INDEX(日常水質!$J$159:$N$159,MATCH($A62,日常水質!$J$152:$N$152,0))),INDEX(日常水質!$J$205:$N$205,MATCH($A62,日常水質!$J$198:$N$198,0))),"")</f>
        <v/>
      </c>
      <c r="G62" s="1182">
        <f>IFERROR(IFERROR(IFERROR(IFERROR(IFERROR(INDEX(日常水質!$J$24:$N$24,MATCH($A62,日常水質!$J$14:$N$14,0)),INDEX(日常水質!$J$70:$N$70,MATCH($A62,日常水質!$J$60:$N$60,0))),INDEX(日常水質!$J$116:$N$116,MATCH($A62,日常水質!$J$106:$N$106,0))),INDEX(日常水質!$J$162:$N$162,MATCH($A62,日常水質!$J$152:$N$152,0))),INDEX(日常水質!$J$208:$N$208,MATCH($A62,日常水質!$J$198:$N$198,0))),"")</f>
        <v/>
      </c>
      <c r="H62" s="1238">
        <f>IFERROR(IFERROR(IFERROR(IFERROR(IFERROR(INDEX(日常水質!$J$25:$N$25,MATCH($A62,日常水質!$J$14:$N$14,0)),INDEX(日常水質!$J$71:$N$71,MATCH($A62,日常水質!$J$60:$N$60,0))),INDEX(日常水質!$J$117:$N$117,MATCH($A62,日常水質!$J$106:$N$106,0))),INDEX(日常水質!$J$163:$N$163,MATCH($A62,日常水質!$J$152:$N$152,0))),INDEX(日常水質!$J$209:$N$209,MATCH($A62,日常水質!$J$198:$N$198,0))),"")</f>
        <v/>
      </c>
      <c r="I62" s="1239" t="n"/>
      <c r="J62" s="1240">
        <f>IFERROR(IFERROR(IFERROR(IFERROR(IFERROR(INDEX(日常水質!$J$26:$N$26,MATCH($A62,日常水質!$J$14:$N$14,0)),INDEX(日常水質!$J$72:$N$72,MATCH($A62,日常水質!$J$60:$N$60,0))),INDEX(日常水質!$J$118:$N$118,MATCH($A62,日常水質!$J$106:$N$106,0))),INDEX(日常水質!$J$164:$N$164,MATCH($A62,日常水質!$J$152:$N$152,0))),INDEX(日常水質!$J$210:$N$210,MATCH($A62,日常水質!$J$198:$N$198,0))),"")</f>
        <v/>
      </c>
      <c r="K62" s="1241" t="n"/>
      <c r="L62" s="1242" t="n"/>
      <c r="M62" s="1015" t="n"/>
      <c r="N62" s="1015" t="n"/>
    </row>
    <row r="63" ht="13.5" customHeight="1" s="614">
      <c r="A63" s="1243">
        <f>IF(ISNUMBER(A62),IF(MONTH(A62+1)=MONTH($A$8),A62+1,""),"")</f>
        <v/>
      </c>
      <c r="B63" s="1146">
        <f>IF(ISNUMBER(A63),A63,"")</f>
        <v/>
      </c>
      <c r="C63" s="1184">
        <f>IFERROR(IFERROR(IFERROR(IFERROR(IFERROR(INDEX(日常水質!$J$19:$N$19,MATCH($A63,日常水質!$J$14:$N$14,0)),INDEX(日常水質!$J$65:$N$65,MATCH($A63,日常水質!$J$60:$N$60,0))),INDEX(日常水質!$J$111:$N$111,MATCH($A63,日常水質!$J$106:$N$106,0))),INDEX(日常水質!$J$157:$N$157,MATCH($A63,日常水質!$J$152:$N$152,0))),INDEX(日常水質!$J$203:$N$203,MATCH($A63,日常水質!$J$198:$N$198,0))),"")</f>
        <v/>
      </c>
      <c r="D63" s="1053">
        <f>IFERROR(IFERROR(IFERROR(IFERROR(IFERROR(INDEX(日常水質!$J$20:$N$20,MATCH($A63,日常水質!$J$14:$N$14,0)),INDEX(日常水質!$J$66:$N$66,MATCH($A63,日常水質!$J$60:$N$60,0))),INDEX(日常水質!$J$112:$N$112,MATCH($A63,日常水質!$J$106:$N$106,0))),INDEX(日常水質!$J$158:$N$158,MATCH($A63,日常水質!$J$152:$N$152,0))),INDEX(日常水質!$J$204:$N$204,MATCH($A63,日常水質!$J$198:$N$198,0))),"")</f>
        <v/>
      </c>
      <c r="E63" s="1053" t="n"/>
      <c r="F63" s="1053">
        <f>IFERROR(IFERROR(IFERROR(IFERROR(IFERROR(INDEX(日常水質!$J$21:$N$21,MATCH($A63,日常水質!$J$14:$N$14,0)),INDEX(日常水質!$J$67:$N$67,MATCH($A63,日常水質!$J$60:$N$60,0))),INDEX(日常水質!$J$113:$N$113,MATCH($A63,日常水質!$J$106:$N$106,0))),INDEX(日常水質!$J$159:$N$159,MATCH($A63,日常水質!$J$152:$N$152,0))),INDEX(日常水質!$J$205:$N$205,MATCH($A63,日常水質!$J$198:$N$198,0))),"")</f>
        <v/>
      </c>
      <c r="G63" s="1182">
        <f>IFERROR(IFERROR(IFERROR(IFERROR(IFERROR(INDEX(日常水質!$J$24:$N$24,MATCH($A63,日常水質!$J$14:$N$14,0)),INDEX(日常水質!$J$70:$N$70,MATCH($A63,日常水質!$J$60:$N$60,0))),INDEX(日常水質!$J$116:$N$116,MATCH($A63,日常水質!$J$106:$N$106,0))),INDEX(日常水質!$J$162:$N$162,MATCH($A63,日常水質!$J$152:$N$152,0))),INDEX(日常水質!$J$208:$N$208,MATCH($A63,日常水質!$J$198:$N$198,0))),"")</f>
        <v/>
      </c>
      <c r="H63" s="1238">
        <f>IFERROR(IFERROR(IFERROR(IFERROR(IFERROR(INDEX(日常水質!$J$25:$N$25,MATCH($A63,日常水質!$J$14:$N$14,0)),INDEX(日常水質!$J$71:$N$71,MATCH($A63,日常水質!$J$60:$N$60,0))),INDEX(日常水質!$J$117:$N$117,MATCH($A63,日常水質!$J$106:$N$106,0))),INDEX(日常水質!$J$163:$N$163,MATCH($A63,日常水質!$J$152:$N$152,0))),INDEX(日常水質!$J$209:$N$209,MATCH($A63,日常水質!$J$198:$N$198,0))),"")</f>
        <v/>
      </c>
      <c r="I63" s="1239" t="n"/>
      <c r="J63" s="1240">
        <f>IFERROR(IFERROR(IFERROR(IFERROR(IFERROR(INDEX(日常水質!$J$26:$N$26,MATCH($A63,日常水質!$J$14:$N$14,0)),INDEX(日常水質!$J$72:$N$72,MATCH($A63,日常水質!$J$60:$N$60,0))),INDEX(日常水質!$J$118:$N$118,MATCH($A63,日常水質!$J$106:$N$106,0))),INDEX(日常水質!$J$164:$N$164,MATCH($A63,日常水質!$J$152:$N$152,0))),INDEX(日常水質!$J$210:$N$210,MATCH($A63,日常水質!$J$198:$N$198,0))),"")</f>
        <v/>
      </c>
      <c r="K63" s="1241" t="n"/>
      <c r="L63" s="1242" t="n"/>
      <c r="M63" s="1015" t="n"/>
      <c r="N63" s="1015" t="n"/>
    </row>
    <row r="64" ht="13.5" customHeight="1" s="614">
      <c r="A64" s="1243">
        <f>IF(ISNUMBER(A63),IF(MONTH(A63+1)=MONTH($A$8),A63+1,""),"")</f>
        <v/>
      </c>
      <c r="B64" s="1146">
        <f>IF(ISNUMBER(A64),A64,"")</f>
        <v/>
      </c>
      <c r="C64" s="1244">
        <f>IFERROR(IFERROR(IFERROR(IFERROR(IFERROR(INDEX(日常水質!$J$19:$N$19,MATCH($A64,日常水質!$J$14:$N$14,0)),INDEX(日常水質!$J$65:$N$65,MATCH($A64,日常水質!$J$60:$N$60,0))),INDEX(日常水質!$J$111:$N$111,MATCH($A64,日常水質!$J$106:$N$106,0))),INDEX(日常水質!$J$157:$N$157,MATCH($A64,日常水質!$J$152:$N$152,0))),INDEX(日常水質!$J$203:$N$203,MATCH($A64,日常水質!$J$198:$N$198,0))),"")</f>
        <v/>
      </c>
      <c r="D64" s="1245">
        <f>IFERROR(IFERROR(IFERROR(IFERROR(IFERROR(INDEX(日常水質!$J$20:$N$20,MATCH($A64,日常水質!$J$14:$N$14,0)),INDEX(日常水質!$J$66:$N$66,MATCH($A64,日常水質!$J$60:$N$60,0))),INDEX(日常水質!$J$112:$N$112,MATCH($A64,日常水質!$J$106:$N$106,0))),INDEX(日常水質!$J$158:$N$158,MATCH($A64,日常水質!$J$152:$N$152,0))),INDEX(日常水質!$J$204:$N$204,MATCH($A64,日常水質!$J$198:$N$198,0))),"")</f>
        <v/>
      </c>
      <c r="E64" s="1245" t="n"/>
      <c r="F64" s="1245">
        <f>IFERROR(IFERROR(IFERROR(IFERROR(IFERROR(INDEX(日常水質!$J$21:$N$21,MATCH($A64,日常水質!$J$14:$N$14,0)),INDEX(日常水質!$J$67:$N$67,MATCH($A64,日常水質!$J$60:$N$60,0))),INDEX(日常水質!$J$113:$N$113,MATCH($A64,日常水質!$J$106:$N$106,0))),INDEX(日常水質!$J$159:$N$159,MATCH($A64,日常水質!$J$152:$N$152,0))),INDEX(日常水質!$J$205:$N$205,MATCH($A64,日常水質!$J$198:$N$198,0))),"")</f>
        <v/>
      </c>
      <c r="G64" s="1246">
        <f>IFERROR(IFERROR(IFERROR(IFERROR(IFERROR(INDEX(日常水質!$J$24:$N$24,MATCH($A64,日常水質!$J$14:$N$14,0)),INDEX(日常水質!$J$70:$N$70,MATCH($A64,日常水質!$J$60:$N$60,0))),INDEX(日常水質!$J$116:$N$116,MATCH($A64,日常水質!$J$106:$N$106,0))),INDEX(日常水質!$J$162:$N$162,MATCH($A64,日常水質!$J$152:$N$152,0))),INDEX(日常水質!$J$208:$N$208,MATCH($A64,日常水質!$J$198:$N$198,0))),"")</f>
        <v/>
      </c>
      <c r="H64" s="1247">
        <f>IFERROR(IFERROR(IFERROR(IFERROR(IFERROR(INDEX(日常水質!$J$25:$N$25,MATCH($A64,日常水質!$J$14:$N$14,0)),INDEX(日常水質!$J$71:$N$71,MATCH($A64,日常水質!$J$60:$N$60,0))),INDEX(日常水質!$J$117:$N$117,MATCH($A64,日常水質!$J$106:$N$106,0))),INDEX(日常水質!$J$163:$N$163,MATCH($A64,日常水質!$J$152:$N$152,0))),INDEX(日常水質!$J$209:$N$209,MATCH($A64,日常水質!$J$198:$N$198,0))),"")</f>
        <v/>
      </c>
      <c r="I64" s="1248" t="n"/>
      <c r="J64" s="1249">
        <f>IFERROR(IFERROR(IFERROR(IFERROR(IFERROR(INDEX(日常水質!$J$26:$N$26,MATCH($A64,日常水質!$J$14:$N$14,0)),INDEX(日常水質!$J$72:$N$72,MATCH($A64,日常水質!$J$60:$N$60,0))),INDEX(日常水質!$J$118:$N$118,MATCH($A64,日常水質!$J$106:$N$106,0))),INDEX(日常水質!$J$164:$N$164,MATCH($A64,日常水質!$J$152:$N$152,0))),INDEX(日常水質!$J$210:$N$210,MATCH($A64,日常水質!$J$198:$N$198,0))),"")</f>
        <v/>
      </c>
      <c r="K64" s="1241" t="n"/>
      <c r="L64" s="1242" t="n"/>
      <c r="M64" s="1015" t="n"/>
      <c r="N64" s="1015" t="n"/>
    </row>
    <row r="65" ht="13.5" customHeight="1" s="614">
      <c r="A65" s="1243">
        <f>IF(ISNUMBER(A64),IF(MONTH(A64+1)=MONTH($A$8),A64+1,""),"")</f>
        <v/>
      </c>
      <c r="B65" s="1146">
        <f>IF(ISNUMBER(A65),A65,"")</f>
        <v/>
      </c>
      <c r="C65" s="1244">
        <f>IFERROR(IFERROR(IFERROR(IFERROR(IFERROR(INDEX(日常水質!$J$19:$N$19,MATCH($A65,日常水質!$J$14:$N$14,0)),INDEX(日常水質!$J$65:$N$65,MATCH($A65,日常水質!$J$60:$N$60,0))),INDEX(日常水質!$J$111:$N$111,MATCH($A65,日常水質!$J$106:$N$106,0))),INDEX(日常水質!$J$157:$N$157,MATCH($A65,日常水質!$J$152:$N$152,0))),INDEX(日常水質!$J$203:$N$203,MATCH($A65,日常水質!$J$198:$N$198,0))),"")</f>
        <v/>
      </c>
      <c r="D65" s="1245">
        <f>IFERROR(IFERROR(IFERROR(IFERROR(IFERROR(INDEX(日常水質!$J$20:$N$20,MATCH($A65,日常水質!$J$14:$N$14,0)),INDEX(日常水質!$J$66:$N$66,MATCH($A65,日常水質!$J$60:$N$60,0))),INDEX(日常水質!$J$112:$N$112,MATCH($A65,日常水質!$J$106:$N$106,0))),INDEX(日常水質!$J$158:$N$158,MATCH($A65,日常水質!$J$152:$N$152,0))),INDEX(日常水質!$J$204:$N$204,MATCH($A65,日常水質!$J$198:$N$198,0))),"")</f>
        <v/>
      </c>
      <c r="E65" s="1245" t="n"/>
      <c r="F65" s="1245">
        <f>IFERROR(IFERROR(IFERROR(IFERROR(IFERROR(INDEX(日常水質!$J$21:$N$21,MATCH($A65,日常水質!$J$14:$N$14,0)),INDEX(日常水質!$J$67:$N$67,MATCH($A65,日常水質!$J$60:$N$60,0))),INDEX(日常水質!$J$113:$N$113,MATCH($A65,日常水質!$J$106:$N$106,0))),INDEX(日常水質!$J$159:$N$159,MATCH($A65,日常水質!$J$152:$N$152,0))),INDEX(日常水質!$J$205:$N$205,MATCH($A65,日常水質!$J$198:$N$198,0))),"")</f>
        <v/>
      </c>
      <c r="G65" s="1246">
        <f>IFERROR(IFERROR(IFERROR(IFERROR(IFERROR(INDEX(日常水質!$J$24:$N$24,MATCH($A65,日常水質!$J$14:$N$14,0)),INDEX(日常水質!$J$70:$N$70,MATCH($A65,日常水質!$J$60:$N$60,0))),INDEX(日常水質!$J$116:$N$116,MATCH($A65,日常水質!$J$106:$N$106,0))),INDEX(日常水質!$J$162:$N$162,MATCH($A65,日常水質!$J$152:$N$152,0))),INDEX(日常水質!$J$208:$N$208,MATCH($A65,日常水質!$J$198:$N$198,0))),"")</f>
        <v/>
      </c>
      <c r="H65" s="1247">
        <f>IFERROR(IFERROR(IFERROR(IFERROR(IFERROR(INDEX(日常水質!$J$25:$N$25,MATCH($A65,日常水質!$J$14:$N$14,0)),INDEX(日常水質!$J$71:$N$71,MATCH($A65,日常水質!$J$60:$N$60,0))),INDEX(日常水質!$J$117:$N$117,MATCH($A65,日常水質!$J$106:$N$106,0))),INDEX(日常水質!$J$163:$N$163,MATCH($A65,日常水質!$J$152:$N$152,0))),INDEX(日常水質!$J$209:$N$209,MATCH($A65,日常水質!$J$198:$N$198,0))),"")</f>
        <v/>
      </c>
      <c r="I65" s="1248" t="n"/>
      <c r="J65" s="1249">
        <f>IFERROR(IFERROR(IFERROR(IFERROR(IFERROR(INDEX(日常水質!$J$26:$N$26,MATCH($A65,日常水質!$J$14:$N$14,0)),INDEX(日常水質!$J$72:$N$72,MATCH($A65,日常水質!$J$60:$N$60,0))),INDEX(日常水質!$J$118:$N$118,MATCH($A65,日常水質!$J$106:$N$106,0))),INDEX(日常水質!$J$164:$N$164,MATCH($A65,日常水質!$J$152:$N$152,0))),INDEX(日常水質!$J$210:$N$210,MATCH($A65,日常水質!$J$198:$N$198,0))),"")</f>
        <v/>
      </c>
      <c r="K65" s="1241" t="n"/>
      <c r="L65" s="1242" t="n"/>
      <c r="M65" s="1015" t="n"/>
      <c r="N65" s="1015" t="n"/>
    </row>
    <row r="66" ht="13.5" customHeight="1" s="614">
      <c r="A66" s="1243">
        <f>IF(ISNUMBER(A65),IF(MONTH(A65+1)=MONTH($A$8),A65+1,""),"")</f>
        <v/>
      </c>
      <c r="B66" s="1146">
        <f>IF(ISNUMBER(A66),A66,"")</f>
        <v/>
      </c>
      <c r="C66" s="1244">
        <f>IFERROR(IFERROR(IFERROR(IFERROR(IFERROR(INDEX(日常水質!$J$19:$N$19,MATCH($A66,日常水質!$J$14:$N$14,0)),INDEX(日常水質!$J$65:$N$65,MATCH($A66,日常水質!$J$60:$N$60,0))),INDEX(日常水質!$J$111:$N$111,MATCH($A66,日常水質!$J$106:$N$106,0))),INDEX(日常水質!$J$157:$N$157,MATCH($A66,日常水質!$J$152:$N$152,0))),INDEX(日常水質!$J$203:$N$203,MATCH($A66,日常水質!$J$198:$N$198,0))),"")</f>
        <v/>
      </c>
      <c r="D66" s="1245">
        <f>IFERROR(IFERROR(IFERROR(IFERROR(IFERROR(INDEX(日常水質!$J$20:$N$20,MATCH($A66,日常水質!$J$14:$N$14,0)),INDEX(日常水質!$J$66:$N$66,MATCH($A66,日常水質!$J$60:$N$60,0))),INDEX(日常水質!$J$112:$N$112,MATCH($A66,日常水質!$J$106:$N$106,0))),INDEX(日常水質!$J$158:$N$158,MATCH($A66,日常水質!$J$152:$N$152,0))),INDEX(日常水質!$J$204:$N$204,MATCH($A66,日常水質!$J$198:$N$198,0))),"")</f>
        <v/>
      </c>
      <c r="E66" s="1245" t="n"/>
      <c r="F66" s="1245">
        <f>IFERROR(IFERROR(IFERROR(IFERROR(IFERROR(INDEX(日常水質!$J$21:$N$21,MATCH($A66,日常水質!$J$14:$N$14,0)),INDEX(日常水質!$J$67:$N$67,MATCH($A66,日常水質!$J$60:$N$60,0))),INDEX(日常水質!$J$113:$N$113,MATCH($A66,日常水質!$J$106:$N$106,0))),INDEX(日常水質!$J$159:$N$159,MATCH($A66,日常水質!$J$152:$N$152,0))),INDEX(日常水質!$J$205:$N$205,MATCH($A66,日常水質!$J$198:$N$198,0))),"")</f>
        <v/>
      </c>
      <c r="G66" s="1246">
        <f>IFERROR(IFERROR(IFERROR(IFERROR(IFERROR(INDEX(日常水質!$J$24:$N$24,MATCH($A66,日常水質!$J$14:$N$14,0)),INDEX(日常水質!$J$70:$N$70,MATCH($A66,日常水質!$J$60:$N$60,0))),INDEX(日常水質!$J$116:$N$116,MATCH($A66,日常水質!$J$106:$N$106,0))),INDEX(日常水質!$J$162:$N$162,MATCH($A66,日常水質!$J$152:$N$152,0))),INDEX(日常水質!$J$208:$N$208,MATCH($A66,日常水質!$J$198:$N$198,0))),"")</f>
        <v/>
      </c>
      <c r="H66" s="1247">
        <f>IFERROR(IFERROR(IFERROR(IFERROR(IFERROR(INDEX(日常水質!$J$25:$N$25,MATCH($A66,日常水質!$J$14:$N$14,0)),INDEX(日常水質!$J$71:$N$71,MATCH($A66,日常水質!$J$60:$N$60,0))),INDEX(日常水質!$J$117:$N$117,MATCH($A66,日常水質!$J$106:$N$106,0))),INDEX(日常水質!$J$163:$N$163,MATCH($A66,日常水質!$J$152:$N$152,0))),INDEX(日常水質!$J$209:$N$209,MATCH($A66,日常水質!$J$198:$N$198,0))),"")</f>
        <v/>
      </c>
      <c r="I66" s="1248" t="n"/>
      <c r="J66" s="1249">
        <f>IFERROR(IFERROR(IFERROR(IFERROR(IFERROR(INDEX(日常水質!$J$26:$N$26,MATCH($A66,日常水質!$J$14:$N$14,0)),INDEX(日常水質!$J$72:$N$72,MATCH($A66,日常水質!$J$60:$N$60,0))),INDEX(日常水質!$J$118:$N$118,MATCH($A66,日常水質!$J$106:$N$106,0))),INDEX(日常水質!$J$164:$N$164,MATCH($A66,日常水質!$J$152:$N$152,0))),INDEX(日常水質!$J$210:$N$210,MATCH($A66,日常水質!$J$198:$N$198,0))),"")</f>
        <v/>
      </c>
      <c r="K66" s="1241" t="n"/>
      <c r="L66" s="1242" t="n"/>
      <c r="M66" s="1015" t="n"/>
      <c r="N66" s="1015" t="n"/>
    </row>
    <row r="67" ht="13.5" customHeight="1" s="614">
      <c r="A67" s="1243">
        <f>IF(ISNUMBER(A66),IF(MONTH(A66+1)=MONTH($A$8),A66+1,""),"")</f>
        <v/>
      </c>
      <c r="B67" s="1146">
        <f>IF(ISNUMBER(A67),A67,"")</f>
        <v/>
      </c>
      <c r="C67" s="1244">
        <f>IFERROR(IFERROR(IFERROR(IFERROR(IFERROR(INDEX(日常水質!$J$19:$N$19,MATCH($A67,日常水質!$J$14:$N$14,0)),INDEX(日常水質!$J$65:$N$65,MATCH($A67,日常水質!$J$60:$N$60,0))),INDEX(日常水質!$J$111:$N$111,MATCH($A67,日常水質!$J$106:$N$106,0))),INDEX(日常水質!$J$157:$N$157,MATCH($A67,日常水質!$J$152:$N$152,0))),INDEX(日常水質!$J$203:$N$203,MATCH($A67,日常水質!$J$198:$N$198,0))),"")</f>
        <v/>
      </c>
      <c r="D67" s="1245">
        <f>IFERROR(IFERROR(IFERROR(IFERROR(IFERROR(INDEX(日常水質!$J$20:$N$20,MATCH($A67,日常水質!$J$14:$N$14,0)),INDEX(日常水質!$J$66:$N$66,MATCH($A67,日常水質!$J$60:$N$60,0))),INDEX(日常水質!$J$112:$N$112,MATCH($A67,日常水質!$J$106:$N$106,0))),INDEX(日常水質!$J$158:$N$158,MATCH($A67,日常水質!$J$152:$N$152,0))),INDEX(日常水質!$J$204:$N$204,MATCH($A67,日常水質!$J$198:$N$198,0))),"")</f>
        <v/>
      </c>
      <c r="E67" s="1245" t="n"/>
      <c r="F67" s="1245">
        <f>IFERROR(IFERROR(IFERROR(IFERROR(IFERROR(INDEX(日常水質!$J$21:$N$21,MATCH($A67,日常水質!$J$14:$N$14,0)),INDEX(日常水質!$J$67:$N$67,MATCH($A67,日常水質!$J$60:$N$60,0))),INDEX(日常水質!$J$113:$N$113,MATCH($A67,日常水質!$J$106:$N$106,0))),INDEX(日常水質!$J$159:$N$159,MATCH($A67,日常水質!$J$152:$N$152,0))),INDEX(日常水質!$J$205:$N$205,MATCH($A67,日常水質!$J$198:$N$198,0))),"")</f>
        <v/>
      </c>
      <c r="G67" s="1246">
        <f>IFERROR(IFERROR(IFERROR(IFERROR(IFERROR(INDEX(日常水質!$J$24:$N$24,MATCH($A67,日常水質!$J$14:$N$14,0)),INDEX(日常水質!$J$70:$N$70,MATCH($A67,日常水質!$J$60:$N$60,0))),INDEX(日常水質!$J$116:$N$116,MATCH($A67,日常水質!$J$106:$N$106,0))),INDEX(日常水質!$J$162:$N$162,MATCH($A67,日常水質!$J$152:$N$152,0))),INDEX(日常水質!$J$208:$N$208,MATCH($A67,日常水質!$J$198:$N$198,0))),"")</f>
        <v/>
      </c>
      <c r="H67" s="1247">
        <f>IFERROR(IFERROR(IFERROR(IFERROR(IFERROR(INDEX(日常水質!$J$25:$N$25,MATCH($A67,日常水質!$J$14:$N$14,0)),INDEX(日常水質!$J$71:$N$71,MATCH($A67,日常水質!$J$60:$N$60,0))),INDEX(日常水質!$J$117:$N$117,MATCH($A67,日常水質!$J$106:$N$106,0))),INDEX(日常水質!$J$163:$N$163,MATCH($A67,日常水質!$J$152:$N$152,0))),INDEX(日常水質!$J$209:$N$209,MATCH($A67,日常水質!$J$198:$N$198,0))),"")</f>
        <v/>
      </c>
      <c r="I67" s="1248" t="n"/>
      <c r="J67" s="1249">
        <f>IFERROR(IFERROR(IFERROR(IFERROR(IFERROR(INDEX(日常水質!$J$26:$N$26,MATCH($A67,日常水質!$J$14:$N$14,0)),INDEX(日常水質!$J$72:$N$72,MATCH($A67,日常水質!$J$60:$N$60,0))),INDEX(日常水質!$J$118:$N$118,MATCH($A67,日常水質!$J$106:$N$106,0))),INDEX(日常水質!$J$164:$N$164,MATCH($A67,日常水質!$J$152:$N$152,0))),INDEX(日常水質!$J$210:$N$210,MATCH($A67,日常水質!$J$198:$N$198,0))),"")</f>
        <v/>
      </c>
      <c r="K67" s="1241" t="n"/>
      <c r="L67" s="1242" t="n"/>
      <c r="M67" s="1015" t="n"/>
      <c r="N67" s="1015" t="n"/>
    </row>
    <row r="68" ht="13.5" customHeight="1" s="614">
      <c r="A68" s="1243">
        <f>IF(ISNUMBER(A67),IF(MONTH(A67+1)=MONTH($A$8),A67+1,""),"")</f>
        <v/>
      </c>
      <c r="B68" s="1146">
        <f>IF(ISNUMBER(A68),A68,"")</f>
        <v/>
      </c>
      <c r="C68" s="1244">
        <f>IFERROR(IFERROR(IFERROR(IFERROR(IFERROR(INDEX(日常水質!$J$19:$N$19,MATCH($A68,日常水質!$J$14:$N$14,0)),INDEX(日常水質!$J$65:$N$65,MATCH($A68,日常水質!$J$60:$N$60,0))),INDEX(日常水質!$J$111:$N$111,MATCH($A68,日常水質!$J$106:$N$106,0))),INDEX(日常水質!$J$157:$N$157,MATCH($A68,日常水質!$J$152:$N$152,0))),INDEX(日常水質!$J$203:$N$203,MATCH($A68,日常水質!$J$198:$N$198,0))),"")</f>
        <v/>
      </c>
      <c r="D68" s="1245">
        <f>IFERROR(IFERROR(IFERROR(IFERROR(IFERROR(INDEX(日常水質!$J$20:$N$20,MATCH($A68,日常水質!$J$14:$N$14,0)),INDEX(日常水質!$J$66:$N$66,MATCH($A68,日常水質!$J$60:$N$60,0))),INDEX(日常水質!$J$112:$N$112,MATCH($A68,日常水質!$J$106:$N$106,0))),INDEX(日常水質!$J$158:$N$158,MATCH($A68,日常水質!$J$152:$N$152,0))),INDEX(日常水質!$J$204:$N$204,MATCH($A68,日常水質!$J$198:$N$198,0))),"")</f>
        <v/>
      </c>
      <c r="E68" s="1245" t="n"/>
      <c r="F68" s="1245">
        <f>IFERROR(IFERROR(IFERROR(IFERROR(IFERROR(INDEX(日常水質!$J$21:$N$21,MATCH($A68,日常水質!$J$14:$N$14,0)),INDEX(日常水質!$J$67:$N$67,MATCH($A68,日常水質!$J$60:$N$60,0))),INDEX(日常水質!$J$113:$N$113,MATCH($A68,日常水質!$J$106:$N$106,0))),INDEX(日常水質!$J$159:$N$159,MATCH($A68,日常水質!$J$152:$N$152,0))),INDEX(日常水質!$J$205:$N$205,MATCH($A68,日常水質!$J$198:$N$198,0))),"")</f>
        <v/>
      </c>
      <c r="G68" s="1246">
        <f>IFERROR(IFERROR(IFERROR(IFERROR(IFERROR(INDEX(日常水質!$J$24:$N$24,MATCH($A68,日常水質!$J$14:$N$14,0)),INDEX(日常水質!$J$70:$N$70,MATCH($A68,日常水質!$J$60:$N$60,0))),INDEX(日常水質!$J$116:$N$116,MATCH($A68,日常水質!$J$106:$N$106,0))),INDEX(日常水質!$J$162:$N$162,MATCH($A68,日常水質!$J$152:$N$152,0))),INDEX(日常水質!$J$208:$N$208,MATCH($A68,日常水質!$J$198:$N$198,0))),"")</f>
        <v/>
      </c>
      <c r="H68" s="1247">
        <f>IFERROR(IFERROR(IFERROR(IFERROR(IFERROR(INDEX(日常水質!$J$25:$N$25,MATCH($A68,日常水質!$J$14:$N$14,0)),INDEX(日常水質!$J$71:$N$71,MATCH($A68,日常水質!$J$60:$N$60,0))),INDEX(日常水質!$J$117:$N$117,MATCH($A68,日常水質!$J$106:$N$106,0))),INDEX(日常水質!$J$163:$N$163,MATCH($A68,日常水質!$J$152:$N$152,0))),INDEX(日常水質!$J$209:$N$209,MATCH($A68,日常水質!$J$198:$N$198,0))),"")</f>
        <v/>
      </c>
      <c r="I68" s="1248" t="n"/>
      <c r="J68" s="1249">
        <f>IFERROR(IFERROR(IFERROR(IFERROR(IFERROR(INDEX(日常水質!$J$26:$N$26,MATCH($A68,日常水質!$J$14:$N$14,0)),INDEX(日常水質!$J$72:$N$72,MATCH($A68,日常水質!$J$60:$N$60,0))),INDEX(日常水質!$J$118:$N$118,MATCH($A68,日常水質!$J$106:$N$106,0))),INDEX(日常水質!$J$164:$N$164,MATCH($A68,日常水質!$J$152:$N$152,0))),INDEX(日常水質!$J$210:$N$210,MATCH($A68,日常水質!$J$198:$N$198,0))),"")</f>
        <v/>
      </c>
      <c r="K68" s="1241" t="n"/>
      <c r="L68" s="1242" t="n"/>
      <c r="M68" s="1015" t="n"/>
      <c r="N68" s="1015" t="n"/>
    </row>
    <row r="69" ht="13.5" customHeight="1" s="614">
      <c r="A69" s="1243">
        <f>IF(ISNUMBER(A68),IF(MONTH(A68+1)=MONTH($A$8),A68+1,""),"")</f>
        <v/>
      </c>
      <c r="B69" s="1146">
        <f>IF(ISNUMBER(A69),A69,"")</f>
        <v/>
      </c>
      <c r="C69" s="1184">
        <f>IFERROR(IFERROR(IFERROR(IFERROR(IFERROR(INDEX(日常水質!$J$19:$N$19,MATCH($A69,日常水質!$J$14:$N$14,0)),INDEX(日常水質!$J$65:$N$65,MATCH($A69,日常水質!$J$60:$N$60,0))),INDEX(日常水質!$J$111:$N$111,MATCH($A69,日常水質!$J$106:$N$106,0))),INDEX(日常水質!$J$157:$N$157,MATCH($A69,日常水質!$J$152:$N$152,0))),INDEX(日常水質!$J$203:$N$203,MATCH($A69,日常水質!$J$198:$N$198,0))),"")</f>
        <v/>
      </c>
      <c r="D69" s="1053">
        <f>IFERROR(IFERROR(IFERROR(IFERROR(IFERROR(INDEX(日常水質!$J$20:$N$20,MATCH($A69,日常水質!$J$14:$N$14,0)),INDEX(日常水質!$J$66:$N$66,MATCH($A69,日常水質!$J$60:$N$60,0))),INDEX(日常水質!$J$112:$N$112,MATCH($A69,日常水質!$J$106:$N$106,0))),INDEX(日常水質!$J$158:$N$158,MATCH($A69,日常水質!$J$152:$N$152,0))),INDEX(日常水質!$J$204:$N$204,MATCH($A69,日常水質!$J$198:$N$198,0))),"")</f>
        <v/>
      </c>
      <c r="E69" s="1053" t="n"/>
      <c r="F69" s="1053">
        <f>IFERROR(IFERROR(IFERROR(IFERROR(IFERROR(INDEX(日常水質!$J$21:$N$21,MATCH($A69,日常水質!$J$14:$N$14,0)),INDEX(日常水質!$J$67:$N$67,MATCH($A69,日常水質!$J$60:$N$60,0))),INDEX(日常水質!$J$113:$N$113,MATCH($A69,日常水質!$J$106:$N$106,0))),INDEX(日常水質!$J$159:$N$159,MATCH($A69,日常水質!$J$152:$N$152,0))),INDEX(日常水質!$J$205:$N$205,MATCH($A69,日常水質!$J$198:$N$198,0))),"")</f>
        <v/>
      </c>
      <c r="G69" s="1182">
        <f>IFERROR(IFERROR(IFERROR(IFERROR(IFERROR(INDEX(日常水質!$J$24:$N$24,MATCH($A69,日常水質!$J$14:$N$14,0)),INDEX(日常水質!$J$70:$N$70,MATCH($A69,日常水質!$J$60:$N$60,0))),INDEX(日常水質!$J$116:$N$116,MATCH($A69,日常水質!$J$106:$N$106,0))),INDEX(日常水質!$J$162:$N$162,MATCH($A69,日常水質!$J$152:$N$152,0))),INDEX(日常水質!$J$208:$N$208,MATCH($A69,日常水質!$J$198:$N$198,0))),"")</f>
        <v/>
      </c>
      <c r="H69" s="1238">
        <f>IFERROR(IFERROR(IFERROR(IFERROR(IFERROR(INDEX(日常水質!$J$25:$N$25,MATCH($A69,日常水質!$J$14:$N$14,0)),INDEX(日常水質!$J$71:$N$71,MATCH($A69,日常水質!$J$60:$N$60,0))),INDEX(日常水質!$J$117:$N$117,MATCH($A69,日常水質!$J$106:$N$106,0))),INDEX(日常水質!$J$163:$N$163,MATCH($A69,日常水質!$J$152:$N$152,0))),INDEX(日常水質!$J$209:$N$209,MATCH($A69,日常水質!$J$198:$N$198,0))),"")</f>
        <v/>
      </c>
      <c r="I69" s="1239" t="n"/>
      <c r="J69" s="1240">
        <f>IFERROR(IFERROR(IFERROR(IFERROR(IFERROR(INDEX(日常水質!$J$26:$N$26,MATCH($A69,日常水質!$J$14:$N$14,0)),INDEX(日常水質!$J$72:$N$72,MATCH($A69,日常水質!$J$60:$N$60,0))),INDEX(日常水質!$J$118:$N$118,MATCH($A69,日常水質!$J$106:$N$106,0))),INDEX(日常水質!$J$164:$N$164,MATCH($A69,日常水質!$J$152:$N$152,0))),INDEX(日常水質!$J$210:$N$210,MATCH($A69,日常水質!$J$198:$N$198,0))),"")</f>
        <v/>
      </c>
      <c r="K69" s="1241" t="n"/>
      <c r="L69" s="1242" t="n"/>
      <c r="M69" s="1015" t="n"/>
      <c r="N69" s="1015" t="n"/>
    </row>
    <row r="70" ht="13.5" customHeight="1" s="614">
      <c r="A70" s="1243">
        <f>IF(ISNUMBER(A69),IF(MONTH(A69+1)=MONTH($A$8),A69+1,""),"")</f>
        <v/>
      </c>
      <c r="B70" s="1146">
        <f>IF(ISNUMBER(A70),A70,"")</f>
        <v/>
      </c>
      <c r="C70" s="1184">
        <f>IFERROR(IFERROR(IFERROR(IFERROR(IFERROR(INDEX(日常水質!$J$19:$N$19,MATCH($A70,日常水質!$J$14:$N$14,0)),INDEX(日常水質!$J$65:$N$65,MATCH($A70,日常水質!$J$60:$N$60,0))),INDEX(日常水質!$J$111:$N$111,MATCH($A70,日常水質!$J$106:$N$106,0))),INDEX(日常水質!$J$157:$N$157,MATCH($A70,日常水質!$J$152:$N$152,0))),INDEX(日常水質!$J$203:$N$203,MATCH($A70,日常水質!$J$198:$N$198,0))),"")</f>
        <v/>
      </c>
      <c r="D70" s="1053">
        <f>IFERROR(IFERROR(IFERROR(IFERROR(IFERROR(INDEX(日常水質!$J$20:$N$20,MATCH($A70,日常水質!$J$14:$N$14,0)),INDEX(日常水質!$J$66:$N$66,MATCH($A70,日常水質!$J$60:$N$60,0))),INDEX(日常水質!$J$112:$N$112,MATCH($A70,日常水質!$J$106:$N$106,0))),INDEX(日常水質!$J$158:$N$158,MATCH($A70,日常水質!$J$152:$N$152,0))),INDEX(日常水質!$J$204:$N$204,MATCH($A70,日常水質!$J$198:$N$198,0))),"")</f>
        <v/>
      </c>
      <c r="E70" s="1053" t="n"/>
      <c r="F70" s="1053">
        <f>IFERROR(IFERROR(IFERROR(IFERROR(IFERROR(INDEX(日常水質!$J$21:$N$21,MATCH($A70,日常水質!$J$14:$N$14,0)),INDEX(日常水質!$J$67:$N$67,MATCH($A70,日常水質!$J$60:$N$60,0))),INDEX(日常水質!$J$113:$N$113,MATCH($A70,日常水質!$J$106:$N$106,0))),INDEX(日常水質!$J$159:$N$159,MATCH($A70,日常水質!$J$152:$N$152,0))),INDEX(日常水質!$J$205:$N$205,MATCH($A70,日常水質!$J$198:$N$198,0))),"")</f>
        <v/>
      </c>
      <c r="G70" s="1182">
        <f>IFERROR(IFERROR(IFERROR(IFERROR(IFERROR(INDEX(日常水質!$J$24:$N$24,MATCH($A70,日常水質!$J$14:$N$14,0)),INDEX(日常水質!$J$70:$N$70,MATCH($A70,日常水質!$J$60:$N$60,0))),INDEX(日常水質!$J$116:$N$116,MATCH($A70,日常水質!$J$106:$N$106,0))),INDEX(日常水質!$J$162:$N$162,MATCH($A70,日常水質!$J$152:$N$152,0))),INDEX(日常水質!$J$208:$N$208,MATCH($A70,日常水質!$J$198:$N$198,0))),"")</f>
        <v/>
      </c>
      <c r="H70" s="1238">
        <f>IFERROR(IFERROR(IFERROR(IFERROR(IFERROR(INDEX(日常水質!$J$25:$N$25,MATCH($A70,日常水質!$J$14:$N$14,0)),INDEX(日常水質!$J$71:$N$71,MATCH($A70,日常水質!$J$60:$N$60,0))),INDEX(日常水質!$J$117:$N$117,MATCH($A70,日常水質!$J$106:$N$106,0))),INDEX(日常水質!$J$163:$N$163,MATCH($A70,日常水質!$J$152:$N$152,0))),INDEX(日常水質!$J$209:$N$209,MATCH($A70,日常水質!$J$198:$N$198,0))),"")</f>
        <v/>
      </c>
      <c r="I70" s="1239" t="n"/>
      <c r="J70" s="1240">
        <f>IFERROR(IFERROR(IFERROR(IFERROR(IFERROR(INDEX(日常水質!$J$26:$N$26,MATCH($A70,日常水質!$J$14:$N$14,0)),INDEX(日常水質!$J$72:$N$72,MATCH($A70,日常水質!$J$60:$N$60,0))),INDEX(日常水質!$J$118:$N$118,MATCH($A70,日常水質!$J$106:$N$106,0))),INDEX(日常水質!$J$164:$N$164,MATCH($A70,日常水質!$J$152:$N$152,0))),INDEX(日常水質!$J$210:$N$210,MATCH($A70,日常水質!$J$198:$N$198,0))),"")</f>
        <v/>
      </c>
      <c r="K70" s="1241" t="n"/>
      <c r="L70" s="1242" t="n"/>
      <c r="M70" s="1015" t="n"/>
      <c r="N70" s="1015" t="n"/>
    </row>
    <row r="71" ht="13.5" customHeight="1" s="614">
      <c r="A71" s="1243">
        <f>IF(ISNUMBER(A70),IF(MONTH(A70+1)=MONTH($A$8),A70+1,""),"")</f>
        <v/>
      </c>
      <c r="B71" s="1146">
        <f>IF(ISNUMBER(A71),A71,"")</f>
        <v/>
      </c>
      <c r="C71" s="1244">
        <f>IFERROR(IFERROR(IFERROR(IFERROR(IFERROR(INDEX(日常水質!$J$19:$N$19,MATCH($A71,日常水質!$J$14:$N$14,0)),INDEX(日常水質!$J$65:$N$65,MATCH($A71,日常水質!$J$60:$N$60,0))),INDEX(日常水質!$J$111:$N$111,MATCH($A71,日常水質!$J$106:$N$106,0))),INDEX(日常水質!$J$157:$N$157,MATCH($A71,日常水質!$J$152:$N$152,0))),INDEX(日常水質!$J$203:$N$203,MATCH($A71,日常水質!$J$198:$N$198,0))),"")</f>
        <v/>
      </c>
      <c r="D71" s="1245">
        <f>IFERROR(IFERROR(IFERROR(IFERROR(IFERROR(INDEX(日常水質!$J$20:$N$20,MATCH($A71,日常水質!$J$14:$N$14,0)),INDEX(日常水質!$J$66:$N$66,MATCH($A71,日常水質!$J$60:$N$60,0))),INDEX(日常水質!$J$112:$N$112,MATCH($A71,日常水質!$J$106:$N$106,0))),INDEX(日常水質!$J$158:$N$158,MATCH($A71,日常水質!$J$152:$N$152,0))),INDEX(日常水質!$J$204:$N$204,MATCH($A71,日常水質!$J$198:$N$198,0))),"")</f>
        <v/>
      </c>
      <c r="E71" s="1245" t="n"/>
      <c r="F71" s="1245">
        <f>IFERROR(IFERROR(IFERROR(IFERROR(IFERROR(INDEX(日常水質!$J$21:$N$21,MATCH($A71,日常水質!$J$14:$N$14,0)),INDEX(日常水質!$J$67:$N$67,MATCH($A71,日常水質!$J$60:$N$60,0))),INDEX(日常水質!$J$113:$N$113,MATCH($A71,日常水質!$J$106:$N$106,0))),INDEX(日常水質!$J$159:$N$159,MATCH($A71,日常水質!$J$152:$N$152,0))),INDEX(日常水質!$J$205:$N$205,MATCH($A71,日常水質!$J$198:$N$198,0))),"")</f>
        <v/>
      </c>
      <c r="G71" s="1246">
        <f>IFERROR(IFERROR(IFERROR(IFERROR(IFERROR(INDEX(日常水質!$J$24:$N$24,MATCH($A71,日常水質!$J$14:$N$14,0)),INDEX(日常水質!$J$70:$N$70,MATCH($A71,日常水質!$J$60:$N$60,0))),INDEX(日常水質!$J$116:$N$116,MATCH($A71,日常水質!$J$106:$N$106,0))),INDEX(日常水質!$J$162:$N$162,MATCH($A71,日常水質!$J$152:$N$152,0))),INDEX(日常水質!$J$208:$N$208,MATCH($A71,日常水質!$J$198:$N$198,0))),"")</f>
        <v/>
      </c>
      <c r="H71" s="1247">
        <f>IFERROR(IFERROR(IFERROR(IFERROR(IFERROR(INDEX(日常水質!$J$25:$N$25,MATCH($A71,日常水質!$J$14:$N$14,0)),INDEX(日常水質!$J$71:$N$71,MATCH($A71,日常水質!$J$60:$N$60,0))),INDEX(日常水質!$J$117:$N$117,MATCH($A71,日常水質!$J$106:$N$106,0))),INDEX(日常水質!$J$163:$N$163,MATCH($A71,日常水質!$J$152:$N$152,0))),INDEX(日常水質!$J$209:$N$209,MATCH($A71,日常水質!$J$198:$N$198,0))),"")</f>
        <v/>
      </c>
      <c r="I71" s="1248" t="n"/>
      <c r="J71" s="1249">
        <f>IFERROR(IFERROR(IFERROR(IFERROR(IFERROR(INDEX(日常水質!$J$26:$N$26,MATCH($A71,日常水質!$J$14:$N$14,0)),INDEX(日常水質!$J$72:$N$72,MATCH($A71,日常水質!$J$60:$N$60,0))),INDEX(日常水質!$J$118:$N$118,MATCH($A71,日常水質!$J$106:$N$106,0))),INDEX(日常水質!$J$164:$N$164,MATCH($A71,日常水質!$J$152:$N$152,0))),INDEX(日常水質!$J$210:$N$210,MATCH($A71,日常水質!$J$198:$N$198,0))),"")</f>
        <v/>
      </c>
      <c r="K71" s="1241" t="n"/>
      <c r="L71" s="1242" t="n"/>
      <c r="M71" s="1015" t="n"/>
      <c r="N71" s="1015" t="n"/>
    </row>
    <row r="72" ht="13.5" customHeight="1" s="614">
      <c r="A72" s="1243">
        <f>IF(ISNUMBER(A71),IF(MONTH(A71+1)=MONTH($A$8),A71+1,""),"")</f>
        <v/>
      </c>
      <c r="B72" s="1146">
        <f>IF(ISNUMBER(A72),A72,"")</f>
        <v/>
      </c>
      <c r="C72" s="1244">
        <f>IFERROR(IFERROR(IFERROR(IFERROR(IFERROR(INDEX(日常水質!$J$19:$N$19,MATCH($A72,日常水質!$J$14:$N$14,0)),INDEX(日常水質!$J$65:$N$65,MATCH($A72,日常水質!$J$60:$N$60,0))),INDEX(日常水質!$J$111:$N$111,MATCH($A72,日常水質!$J$106:$N$106,0))),INDEX(日常水質!$J$157:$N$157,MATCH($A72,日常水質!$J$152:$N$152,0))),INDEX(日常水質!$J$203:$N$203,MATCH($A72,日常水質!$J$198:$N$198,0))),"")</f>
        <v/>
      </c>
      <c r="D72" s="1245">
        <f>IFERROR(IFERROR(IFERROR(IFERROR(IFERROR(INDEX(日常水質!$J$20:$N$20,MATCH($A72,日常水質!$J$14:$N$14,0)),INDEX(日常水質!$J$66:$N$66,MATCH($A72,日常水質!$J$60:$N$60,0))),INDEX(日常水質!$J$112:$N$112,MATCH($A72,日常水質!$J$106:$N$106,0))),INDEX(日常水質!$J$158:$N$158,MATCH($A72,日常水質!$J$152:$N$152,0))),INDEX(日常水質!$J$204:$N$204,MATCH($A72,日常水質!$J$198:$N$198,0))),"")</f>
        <v/>
      </c>
      <c r="E72" s="1245" t="n"/>
      <c r="F72" s="1245">
        <f>IFERROR(IFERROR(IFERROR(IFERROR(IFERROR(INDEX(日常水質!$J$21:$N$21,MATCH($A72,日常水質!$J$14:$N$14,0)),INDEX(日常水質!$J$67:$N$67,MATCH($A72,日常水質!$J$60:$N$60,0))),INDEX(日常水質!$J$113:$N$113,MATCH($A72,日常水質!$J$106:$N$106,0))),INDEX(日常水質!$J$159:$N$159,MATCH($A72,日常水質!$J$152:$N$152,0))),INDEX(日常水質!$J$205:$N$205,MATCH($A72,日常水質!$J$198:$N$198,0))),"")</f>
        <v/>
      </c>
      <c r="G72" s="1246">
        <f>IFERROR(IFERROR(IFERROR(IFERROR(IFERROR(INDEX(日常水質!$J$24:$N$24,MATCH($A72,日常水質!$J$14:$N$14,0)),INDEX(日常水質!$J$70:$N$70,MATCH($A72,日常水質!$J$60:$N$60,0))),INDEX(日常水質!$J$116:$N$116,MATCH($A72,日常水質!$J$106:$N$106,0))),INDEX(日常水質!$J$162:$N$162,MATCH($A72,日常水質!$J$152:$N$152,0))),INDEX(日常水質!$J$208:$N$208,MATCH($A72,日常水質!$J$198:$N$198,0))),"")</f>
        <v/>
      </c>
      <c r="H72" s="1247">
        <f>IFERROR(IFERROR(IFERROR(IFERROR(IFERROR(INDEX(日常水質!$J$25:$N$25,MATCH($A72,日常水質!$J$14:$N$14,0)),INDEX(日常水質!$J$71:$N$71,MATCH($A72,日常水質!$J$60:$N$60,0))),INDEX(日常水質!$J$117:$N$117,MATCH($A72,日常水質!$J$106:$N$106,0))),INDEX(日常水質!$J$163:$N$163,MATCH($A72,日常水質!$J$152:$N$152,0))),INDEX(日常水質!$J$209:$N$209,MATCH($A72,日常水質!$J$198:$N$198,0))),"")</f>
        <v/>
      </c>
      <c r="I72" s="1248" t="n"/>
      <c r="J72" s="1249">
        <f>IFERROR(IFERROR(IFERROR(IFERROR(IFERROR(INDEX(日常水質!$J$26:$N$26,MATCH($A72,日常水質!$J$14:$N$14,0)),INDEX(日常水質!$J$72:$N$72,MATCH($A72,日常水質!$J$60:$N$60,0))),INDEX(日常水質!$J$118:$N$118,MATCH($A72,日常水質!$J$106:$N$106,0))),INDEX(日常水質!$J$164:$N$164,MATCH($A72,日常水質!$J$152:$N$152,0))),INDEX(日常水質!$J$210:$N$210,MATCH($A72,日常水質!$J$198:$N$198,0))),"")</f>
        <v/>
      </c>
      <c r="K72" s="1241" t="n"/>
      <c r="L72" s="1242" t="n"/>
      <c r="M72" s="1015" t="n"/>
      <c r="N72" s="1015" t="n"/>
    </row>
    <row r="73" ht="13.5" customHeight="1" s="614">
      <c r="A73" s="1243">
        <f>IF(ISNUMBER(A72),IF(MONTH(A72+1)=MONTH($A$8),A72+1,""),"")</f>
        <v/>
      </c>
      <c r="B73" s="1146">
        <f>IF(ISNUMBER(A73),A73,"")</f>
        <v/>
      </c>
      <c r="C73" s="1244">
        <f>IFERROR(IFERROR(IFERROR(IFERROR(IFERROR(INDEX(日常水質!$J$19:$N$19,MATCH($A73,日常水質!$J$14:$N$14,0)),INDEX(日常水質!$J$65:$N$65,MATCH($A73,日常水質!$J$60:$N$60,0))),INDEX(日常水質!$J$111:$N$111,MATCH($A73,日常水質!$J$106:$N$106,0))),INDEX(日常水質!$J$157:$N$157,MATCH($A73,日常水質!$J$152:$N$152,0))),INDEX(日常水質!$J$203:$N$203,MATCH($A73,日常水質!$J$198:$N$198,0))),"")</f>
        <v/>
      </c>
      <c r="D73" s="1245">
        <f>IFERROR(IFERROR(IFERROR(IFERROR(IFERROR(INDEX(日常水質!$J$20:$N$20,MATCH($A73,日常水質!$J$14:$N$14,0)),INDEX(日常水質!$J$66:$N$66,MATCH($A73,日常水質!$J$60:$N$60,0))),INDEX(日常水質!$J$112:$N$112,MATCH($A73,日常水質!$J$106:$N$106,0))),INDEX(日常水質!$J$158:$N$158,MATCH($A73,日常水質!$J$152:$N$152,0))),INDEX(日常水質!$J$204:$N$204,MATCH($A73,日常水質!$J$198:$N$198,0))),"")</f>
        <v/>
      </c>
      <c r="E73" s="1245" t="n"/>
      <c r="F73" s="1245">
        <f>IFERROR(IFERROR(IFERROR(IFERROR(IFERROR(INDEX(日常水質!$J$21:$N$21,MATCH($A73,日常水質!$J$14:$N$14,0)),INDEX(日常水質!$J$67:$N$67,MATCH($A73,日常水質!$J$60:$N$60,0))),INDEX(日常水質!$J$113:$N$113,MATCH($A73,日常水質!$J$106:$N$106,0))),INDEX(日常水質!$J$159:$N$159,MATCH($A73,日常水質!$J$152:$N$152,0))),INDEX(日常水質!$J$205:$N$205,MATCH($A73,日常水質!$J$198:$N$198,0))),"")</f>
        <v/>
      </c>
      <c r="G73" s="1246">
        <f>IFERROR(IFERROR(IFERROR(IFERROR(IFERROR(INDEX(日常水質!$J$24:$N$24,MATCH($A73,日常水質!$J$14:$N$14,0)),INDEX(日常水質!$J$70:$N$70,MATCH($A73,日常水質!$J$60:$N$60,0))),INDEX(日常水質!$J$116:$N$116,MATCH($A73,日常水質!$J$106:$N$106,0))),INDEX(日常水質!$J$162:$N$162,MATCH($A73,日常水質!$J$152:$N$152,0))),INDEX(日常水質!$J$208:$N$208,MATCH($A73,日常水質!$J$198:$N$198,0))),"")</f>
        <v/>
      </c>
      <c r="H73" s="1247">
        <f>IFERROR(IFERROR(IFERROR(IFERROR(IFERROR(INDEX(日常水質!$J$25:$N$25,MATCH($A73,日常水質!$J$14:$N$14,0)),INDEX(日常水質!$J$71:$N$71,MATCH($A73,日常水質!$J$60:$N$60,0))),INDEX(日常水質!$J$117:$N$117,MATCH($A73,日常水質!$J$106:$N$106,0))),INDEX(日常水質!$J$163:$N$163,MATCH($A73,日常水質!$J$152:$N$152,0))),INDEX(日常水質!$J$209:$N$209,MATCH($A73,日常水質!$J$198:$N$198,0))),"")</f>
        <v/>
      </c>
      <c r="I73" s="1248" t="n"/>
      <c r="J73" s="1249">
        <f>IFERROR(IFERROR(IFERROR(IFERROR(IFERROR(INDEX(日常水質!$J$26:$N$26,MATCH($A73,日常水質!$J$14:$N$14,0)),INDEX(日常水質!$J$72:$N$72,MATCH($A73,日常水質!$J$60:$N$60,0))),INDEX(日常水質!$J$118:$N$118,MATCH($A73,日常水質!$J$106:$N$106,0))),INDEX(日常水質!$J$164:$N$164,MATCH($A73,日常水質!$J$152:$N$152,0))),INDEX(日常水質!$J$210:$N$210,MATCH($A73,日常水質!$J$198:$N$198,0))),"")</f>
        <v/>
      </c>
      <c r="K73" s="1241" t="n"/>
      <c r="L73" s="1242" t="n"/>
      <c r="M73" s="1015" t="n"/>
      <c r="N73" s="1015" t="n"/>
    </row>
    <row r="74" ht="13.5" customHeight="1" s="614">
      <c r="A74" s="1243">
        <f>IF(ISNUMBER(A73),IF(MONTH(A73+1)=MONTH($A$8),A73+1,""),"")</f>
        <v/>
      </c>
      <c r="B74" s="1146">
        <f>IF(ISNUMBER(A74),A74,"")</f>
        <v/>
      </c>
      <c r="C74" s="1244">
        <f>IFERROR(IFERROR(IFERROR(IFERROR(IFERROR(INDEX(日常水質!$J$19:$N$19,MATCH($A74,日常水質!$J$14:$N$14,0)),INDEX(日常水質!$J$65:$N$65,MATCH($A74,日常水質!$J$60:$N$60,0))),INDEX(日常水質!$J$111:$N$111,MATCH($A74,日常水質!$J$106:$N$106,0))),INDEX(日常水質!$J$157:$N$157,MATCH($A74,日常水質!$J$152:$N$152,0))),INDEX(日常水質!$J$203:$N$203,MATCH($A74,日常水質!$J$198:$N$198,0))),"")</f>
        <v/>
      </c>
      <c r="D74" s="1245">
        <f>IFERROR(IFERROR(IFERROR(IFERROR(IFERROR(INDEX(日常水質!$J$20:$N$20,MATCH($A74,日常水質!$J$14:$N$14,0)),INDEX(日常水質!$J$66:$N$66,MATCH($A74,日常水質!$J$60:$N$60,0))),INDEX(日常水質!$J$112:$N$112,MATCH($A74,日常水質!$J$106:$N$106,0))),INDEX(日常水質!$J$158:$N$158,MATCH($A74,日常水質!$J$152:$N$152,0))),INDEX(日常水質!$J$204:$N$204,MATCH($A74,日常水質!$J$198:$N$198,0))),"")</f>
        <v/>
      </c>
      <c r="E74" s="1245" t="n"/>
      <c r="F74" s="1245">
        <f>IFERROR(IFERROR(IFERROR(IFERROR(IFERROR(INDEX(日常水質!$J$21:$N$21,MATCH($A74,日常水質!$J$14:$N$14,0)),INDEX(日常水質!$J$67:$N$67,MATCH($A74,日常水質!$J$60:$N$60,0))),INDEX(日常水質!$J$113:$N$113,MATCH($A74,日常水質!$J$106:$N$106,0))),INDEX(日常水質!$J$159:$N$159,MATCH($A74,日常水質!$J$152:$N$152,0))),INDEX(日常水質!$J$205:$N$205,MATCH($A74,日常水質!$J$198:$N$198,0))),"")</f>
        <v/>
      </c>
      <c r="G74" s="1246">
        <f>IFERROR(IFERROR(IFERROR(IFERROR(IFERROR(INDEX(日常水質!$J$24:$N$24,MATCH($A74,日常水質!$J$14:$N$14,0)),INDEX(日常水質!$J$70:$N$70,MATCH($A74,日常水質!$J$60:$N$60,0))),INDEX(日常水質!$J$116:$N$116,MATCH($A74,日常水質!$J$106:$N$106,0))),INDEX(日常水質!$J$162:$N$162,MATCH($A74,日常水質!$J$152:$N$152,0))),INDEX(日常水質!$J$208:$N$208,MATCH($A74,日常水質!$J$198:$N$198,0))),"")</f>
        <v/>
      </c>
      <c r="H74" s="1247">
        <f>IFERROR(IFERROR(IFERROR(IFERROR(IFERROR(INDEX(日常水質!$J$25:$N$25,MATCH($A74,日常水質!$J$14:$N$14,0)),INDEX(日常水質!$J$71:$N$71,MATCH($A74,日常水質!$J$60:$N$60,0))),INDEX(日常水質!$J$117:$N$117,MATCH($A74,日常水質!$J$106:$N$106,0))),INDEX(日常水質!$J$163:$N$163,MATCH($A74,日常水質!$J$152:$N$152,0))),INDEX(日常水質!$J$209:$N$209,MATCH($A74,日常水質!$J$198:$N$198,0))),"")</f>
        <v/>
      </c>
      <c r="I74" s="1248" t="n"/>
      <c r="J74" s="1249">
        <f>IFERROR(IFERROR(IFERROR(IFERROR(IFERROR(INDEX(日常水質!$J$26:$N$26,MATCH($A74,日常水質!$J$14:$N$14,0)),INDEX(日常水質!$J$72:$N$72,MATCH($A74,日常水質!$J$60:$N$60,0))),INDEX(日常水質!$J$118:$N$118,MATCH($A74,日常水質!$J$106:$N$106,0))),INDEX(日常水質!$J$164:$N$164,MATCH($A74,日常水質!$J$152:$N$152,0))),INDEX(日常水質!$J$210:$N$210,MATCH($A74,日常水質!$J$198:$N$198,0))),"")</f>
        <v/>
      </c>
      <c r="K74" s="1241" t="n"/>
      <c r="L74" s="1242" t="n"/>
      <c r="M74" s="1015" t="n"/>
      <c r="N74" s="1015" t="n"/>
    </row>
    <row r="75" ht="13.5" customHeight="1" s="614">
      <c r="A75" s="1243">
        <f>IF(ISNUMBER(A74),IF(MONTH(A74+1)=MONTH($A$8),A74+1,""),"")</f>
        <v/>
      </c>
      <c r="B75" s="1146">
        <f>IF(ISNUMBER(A75),A75,"")</f>
        <v/>
      </c>
      <c r="C75" s="1244">
        <f>IFERROR(IFERROR(IFERROR(IFERROR(IFERROR(INDEX(日常水質!$J$19:$N$19,MATCH($A75,日常水質!$J$14:$N$14,0)),INDEX(日常水質!$J$65:$N$65,MATCH($A75,日常水質!$J$60:$N$60,0))),INDEX(日常水質!$J$111:$N$111,MATCH($A75,日常水質!$J$106:$N$106,0))),INDEX(日常水質!$J$157:$N$157,MATCH($A75,日常水質!$J$152:$N$152,0))),INDEX(日常水質!$J$203:$N$203,MATCH($A75,日常水質!$J$198:$N$198,0))),"")</f>
        <v/>
      </c>
      <c r="D75" s="1245">
        <f>IFERROR(IFERROR(IFERROR(IFERROR(IFERROR(INDEX(日常水質!$J$20:$N$20,MATCH($A75,日常水質!$J$14:$N$14,0)),INDEX(日常水質!$J$66:$N$66,MATCH($A75,日常水質!$J$60:$N$60,0))),INDEX(日常水質!$J$112:$N$112,MATCH($A75,日常水質!$J$106:$N$106,0))),INDEX(日常水質!$J$158:$N$158,MATCH($A75,日常水質!$J$152:$N$152,0))),INDEX(日常水質!$J$204:$N$204,MATCH($A75,日常水質!$J$198:$N$198,0))),"")</f>
        <v/>
      </c>
      <c r="E75" s="1245" t="n"/>
      <c r="F75" s="1245">
        <f>IFERROR(IFERROR(IFERROR(IFERROR(IFERROR(INDEX(日常水質!$J$21:$N$21,MATCH($A75,日常水質!$J$14:$N$14,0)),INDEX(日常水質!$J$67:$N$67,MATCH($A75,日常水質!$J$60:$N$60,0))),INDEX(日常水質!$J$113:$N$113,MATCH($A75,日常水質!$J$106:$N$106,0))),INDEX(日常水質!$J$159:$N$159,MATCH($A75,日常水質!$J$152:$N$152,0))),INDEX(日常水質!$J$205:$N$205,MATCH($A75,日常水質!$J$198:$N$198,0))),"")</f>
        <v/>
      </c>
      <c r="G75" s="1246">
        <f>IFERROR(IFERROR(IFERROR(IFERROR(IFERROR(INDEX(日常水質!$J$24:$N$24,MATCH($A75,日常水質!$J$14:$N$14,0)),INDEX(日常水質!$J$70:$N$70,MATCH($A75,日常水質!$J$60:$N$60,0))),INDEX(日常水質!$J$116:$N$116,MATCH($A75,日常水質!$J$106:$N$106,0))),INDEX(日常水質!$J$162:$N$162,MATCH($A75,日常水質!$J$152:$N$152,0))),INDEX(日常水質!$J$208:$N$208,MATCH($A75,日常水質!$J$198:$N$198,0))),"")</f>
        <v/>
      </c>
      <c r="H75" s="1247">
        <f>IFERROR(IFERROR(IFERROR(IFERROR(IFERROR(INDEX(日常水質!$J$25:$N$25,MATCH($A75,日常水質!$J$14:$N$14,0)),INDEX(日常水質!$J$71:$N$71,MATCH($A75,日常水質!$J$60:$N$60,0))),INDEX(日常水質!$J$117:$N$117,MATCH($A75,日常水質!$J$106:$N$106,0))),INDEX(日常水質!$J$163:$N$163,MATCH($A75,日常水質!$J$152:$N$152,0))),INDEX(日常水質!$J$209:$N$209,MATCH($A75,日常水質!$J$198:$N$198,0))),"")</f>
        <v/>
      </c>
      <c r="I75" s="1248" t="n"/>
      <c r="J75" s="1249">
        <f>IFERROR(IFERROR(IFERROR(IFERROR(IFERROR(INDEX(日常水質!$J$26:$N$26,MATCH($A75,日常水質!$J$14:$N$14,0)),INDEX(日常水質!$J$72:$N$72,MATCH($A75,日常水質!$J$60:$N$60,0))),INDEX(日常水質!$J$118:$N$118,MATCH($A75,日常水質!$J$106:$N$106,0))),INDEX(日常水質!$J$164:$N$164,MATCH($A75,日常水質!$J$152:$N$152,0))),INDEX(日常水質!$J$210:$N$210,MATCH($A75,日常水質!$J$198:$N$198,0))),"")</f>
        <v/>
      </c>
      <c r="K75" s="1241" t="n"/>
      <c r="L75" s="1242" t="n"/>
      <c r="M75" s="1015" t="n"/>
      <c r="N75" s="1015" t="n"/>
    </row>
    <row r="76" ht="13.5" customHeight="1" s="614">
      <c r="A76" s="1243">
        <f>IF(ISNUMBER(A75),IF(MONTH(A75+1)=MONTH($A$8),A75+1,""),"")</f>
        <v/>
      </c>
      <c r="B76" s="1146">
        <f>IF(ISNUMBER(A76),A76,"")</f>
        <v/>
      </c>
      <c r="C76" s="1184">
        <f>IFERROR(IFERROR(IFERROR(IFERROR(IFERROR(INDEX(日常水質!$J$19:$N$19,MATCH($A76,日常水質!$J$14:$N$14,0)),INDEX(日常水質!$J$65:$N$65,MATCH($A76,日常水質!$J$60:$N$60,0))),INDEX(日常水質!$J$111:$N$111,MATCH($A76,日常水質!$J$106:$N$106,0))),INDEX(日常水質!$J$157:$N$157,MATCH($A76,日常水質!$J$152:$N$152,0))),INDEX(日常水質!$J$203:$N$203,MATCH($A76,日常水質!$J$198:$N$198,0))),"")</f>
        <v/>
      </c>
      <c r="D76" s="1053">
        <f>IFERROR(IFERROR(IFERROR(IFERROR(IFERROR(INDEX(日常水質!$J$20:$N$20,MATCH($A76,日常水質!$J$14:$N$14,0)),INDEX(日常水質!$J$66:$N$66,MATCH($A76,日常水質!$J$60:$N$60,0))),INDEX(日常水質!$J$112:$N$112,MATCH($A76,日常水質!$J$106:$N$106,0))),INDEX(日常水質!$J$158:$N$158,MATCH($A76,日常水質!$J$152:$N$152,0))),INDEX(日常水質!$J$204:$N$204,MATCH($A76,日常水質!$J$198:$N$198,0))),"")</f>
        <v/>
      </c>
      <c r="E76" s="1053" t="n"/>
      <c r="F76" s="1053">
        <f>IFERROR(IFERROR(IFERROR(IFERROR(IFERROR(INDEX(日常水質!$J$21:$N$21,MATCH($A76,日常水質!$J$14:$N$14,0)),INDEX(日常水質!$J$67:$N$67,MATCH($A76,日常水質!$J$60:$N$60,0))),INDEX(日常水質!$J$113:$N$113,MATCH($A76,日常水質!$J$106:$N$106,0))),INDEX(日常水質!$J$159:$N$159,MATCH($A76,日常水質!$J$152:$N$152,0))),INDEX(日常水質!$J$205:$N$205,MATCH($A76,日常水質!$J$198:$N$198,0))),"")</f>
        <v/>
      </c>
      <c r="G76" s="1182">
        <f>IFERROR(IFERROR(IFERROR(IFERROR(IFERROR(INDEX(日常水質!$J$24:$N$24,MATCH($A76,日常水質!$J$14:$N$14,0)),INDEX(日常水質!$J$70:$N$70,MATCH($A76,日常水質!$J$60:$N$60,0))),INDEX(日常水質!$J$116:$N$116,MATCH($A76,日常水質!$J$106:$N$106,0))),INDEX(日常水質!$J$162:$N$162,MATCH($A76,日常水質!$J$152:$N$152,0))),INDEX(日常水質!$J$208:$N$208,MATCH($A76,日常水質!$J$198:$N$198,0))),"")</f>
        <v/>
      </c>
      <c r="H76" s="1238">
        <f>IFERROR(IFERROR(IFERROR(IFERROR(IFERROR(INDEX(日常水質!$J$25:$N$25,MATCH($A76,日常水質!$J$14:$N$14,0)),INDEX(日常水質!$J$71:$N$71,MATCH($A76,日常水質!$J$60:$N$60,0))),INDEX(日常水質!$J$117:$N$117,MATCH($A76,日常水質!$J$106:$N$106,0))),INDEX(日常水質!$J$163:$N$163,MATCH($A76,日常水質!$J$152:$N$152,0))),INDEX(日常水質!$J$209:$N$209,MATCH($A76,日常水質!$J$198:$N$198,0))),"")</f>
        <v/>
      </c>
      <c r="I76" s="1239" t="n"/>
      <c r="J76" s="1240">
        <f>IFERROR(IFERROR(IFERROR(IFERROR(IFERROR(INDEX(日常水質!$J$26:$N$26,MATCH($A76,日常水質!$J$14:$N$14,0)),INDEX(日常水質!$J$72:$N$72,MATCH($A76,日常水質!$J$60:$N$60,0))),INDEX(日常水質!$J$118:$N$118,MATCH($A76,日常水質!$J$106:$N$106,0))),INDEX(日常水質!$J$164:$N$164,MATCH($A76,日常水質!$J$152:$N$152,0))),INDEX(日常水質!$J$210:$N$210,MATCH($A76,日常水質!$J$198:$N$198,0))),"")</f>
        <v/>
      </c>
      <c r="K76" s="1241" t="n"/>
      <c r="L76" s="1242" t="n"/>
      <c r="M76" s="1015" t="n"/>
      <c r="N76" s="1015" t="n"/>
    </row>
    <row r="77" ht="13.5" customHeight="1" s="614">
      <c r="A77" s="1243">
        <f>IF(ISNUMBER(A76),IF(MONTH(A76+1)=MONTH($A$8),A76+1,""),"")</f>
        <v/>
      </c>
      <c r="B77" s="1146">
        <f>IF(ISNUMBER(A77),A77,"")</f>
        <v/>
      </c>
      <c r="C77" s="1184">
        <f>IFERROR(IFERROR(IFERROR(IFERROR(IFERROR(INDEX(日常水質!$J$19:$N$19,MATCH($A77,日常水質!$J$14:$N$14,0)),INDEX(日常水質!$J$65:$N$65,MATCH($A77,日常水質!$J$60:$N$60,0))),INDEX(日常水質!$J$111:$N$111,MATCH($A77,日常水質!$J$106:$N$106,0))),INDEX(日常水質!$J$157:$N$157,MATCH($A77,日常水質!$J$152:$N$152,0))),INDEX(日常水質!$J$203:$N$203,MATCH($A77,日常水質!$J$198:$N$198,0))),"")</f>
        <v/>
      </c>
      <c r="D77" s="1053">
        <f>IFERROR(IFERROR(IFERROR(IFERROR(IFERROR(INDEX(日常水質!$J$20:$N$20,MATCH($A77,日常水質!$J$14:$N$14,0)),INDEX(日常水質!$J$66:$N$66,MATCH($A77,日常水質!$J$60:$N$60,0))),INDEX(日常水質!$J$112:$N$112,MATCH($A77,日常水質!$J$106:$N$106,0))),INDEX(日常水質!$J$158:$N$158,MATCH($A77,日常水質!$J$152:$N$152,0))),INDEX(日常水質!$J$204:$N$204,MATCH($A77,日常水質!$J$198:$N$198,0))),"")</f>
        <v/>
      </c>
      <c r="E77" s="1053" t="n"/>
      <c r="F77" s="1053">
        <f>IFERROR(IFERROR(IFERROR(IFERROR(IFERROR(INDEX(日常水質!$J$21:$N$21,MATCH($A77,日常水質!$J$14:$N$14,0)),INDEX(日常水質!$J$67:$N$67,MATCH($A77,日常水質!$J$60:$N$60,0))),INDEX(日常水質!$J$113:$N$113,MATCH($A77,日常水質!$J$106:$N$106,0))),INDEX(日常水質!$J$159:$N$159,MATCH($A77,日常水質!$J$152:$N$152,0))),INDEX(日常水質!$J$205:$N$205,MATCH($A77,日常水質!$J$198:$N$198,0))),"")</f>
        <v/>
      </c>
      <c r="G77" s="1182">
        <f>IFERROR(IFERROR(IFERROR(IFERROR(IFERROR(INDEX(日常水質!$J$24:$N$24,MATCH($A77,日常水質!$J$14:$N$14,0)),INDEX(日常水質!$J$70:$N$70,MATCH($A77,日常水質!$J$60:$N$60,0))),INDEX(日常水質!$J$116:$N$116,MATCH($A77,日常水質!$J$106:$N$106,0))),INDEX(日常水質!$J$162:$N$162,MATCH($A77,日常水質!$J$152:$N$152,0))),INDEX(日常水質!$J$208:$N$208,MATCH($A77,日常水質!$J$198:$N$198,0))),"")</f>
        <v/>
      </c>
      <c r="H77" s="1238">
        <f>IFERROR(IFERROR(IFERROR(IFERROR(IFERROR(INDEX(日常水質!$J$25:$N$25,MATCH($A77,日常水質!$J$14:$N$14,0)),INDEX(日常水質!$J$71:$N$71,MATCH($A77,日常水質!$J$60:$N$60,0))),INDEX(日常水質!$J$117:$N$117,MATCH($A77,日常水質!$J$106:$N$106,0))),INDEX(日常水質!$J$163:$N$163,MATCH($A77,日常水質!$J$152:$N$152,0))),INDEX(日常水質!$J$209:$N$209,MATCH($A77,日常水質!$J$198:$N$198,0))),"")</f>
        <v/>
      </c>
      <c r="I77" s="1239" t="n"/>
      <c r="J77" s="1240">
        <f>IFERROR(IFERROR(IFERROR(IFERROR(IFERROR(INDEX(日常水質!$J$26:$N$26,MATCH($A77,日常水質!$J$14:$N$14,0)),INDEX(日常水質!$J$72:$N$72,MATCH($A77,日常水質!$J$60:$N$60,0))),INDEX(日常水質!$J$118:$N$118,MATCH($A77,日常水質!$J$106:$N$106,0))),INDEX(日常水質!$J$164:$N$164,MATCH($A77,日常水質!$J$152:$N$152,0))),INDEX(日常水質!$J$210:$N$210,MATCH($A77,日常水質!$J$198:$N$198,0))),"")</f>
        <v/>
      </c>
      <c r="K77" s="1241" t="n"/>
      <c r="L77" s="1242" t="n"/>
      <c r="M77" s="1015" t="n"/>
      <c r="N77" s="1015" t="n"/>
    </row>
    <row r="78" ht="13.5" customHeight="1" s="614">
      <c r="A78" s="1243">
        <f>IF(ISNUMBER(A77),IF(MONTH(A77+1)=MONTH($A$8),A77+1,""),"")</f>
        <v/>
      </c>
      <c r="B78" s="1146">
        <f>IF(ISNUMBER(A78),A78,"")</f>
        <v/>
      </c>
      <c r="C78" s="1244">
        <f>IFERROR(IFERROR(IFERROR(IFERROR(IFERROR(INDEX(日常水質!$J$19:$N$19,MATCH($A78,日常水質!$J$14:$N$14,0)),INDEX(日常水質!$J$65:$N$65,MATCH($A78,日常水質!$J$60:$N$60,0))),INDEX(日常水質!$J$111:$N$111,MATCH($A78,日常水質!$J$106:$N$106,0))),INDEX(日常水質!$J$157:$N$157,MATCH($A78,日常水質!$J$152:$N$152,0))),INDEX(日常水質!$J$203:$N$203,MATCH($A78,日常水質!$J$198:$N$198,0))),"")</f>
        <v/>
      </c>
      <c r="D78" s="1245">
        <f>IFERROR(IFERROR(IFERROR(IFERROR(IFERROR(INDEX(日常水質!$J$20:$N$20,MATCH($A78,日常水質!$J$14:$N$14,0)),INDEX(日常水質!$J$66:$N$66,MATCH($A78,日常水質!$J$60:$N$60,0))),INDEX(日常水質!$J$112:$N$112,MATCH($A78,日常水質!$J$106:$N$106,0))),INDEX(日常水質!$J$158:$N$158,MATCH($A78,日常水質!$J$152:$N$152,0))),INDEX(日常水質!$J$204:$N$204,MATCH($A78,日常水質!$J$198:$N$198,0))),"")</f>
        <v/>
      </c>
      <c r="E78" s="1245" t="n"/>
      <c r="F78" s="1245">
        <f>IFERROR(IFERROR(IFERROR(IFERROR(IFERROR(INDEX(日常水質!$J$21:$N$21,MATCH($A78,日常水質!$J$14:$N$14,0)),INDEX(日常水質!$J$67:$N$67,MATCH($A78,日常水質!$J$60:$N$60,0))),INDEX(日常水質!$J$113:$N$113,MATCH($A78,日常水質!$J$106:$N$106,0))),INDEX(日常水質!$J$159:$N$159,MATCH($A78,日常水質!$J$152:$N$152,0))),INDEX(日常水質!$J$205:$N$205,MATCH($A78,日常水質!$J$198:$N$198,0))),"")</f>
        <v/>
      </c>
      <c r="G78" s="1246">
        <f>IFERROR(IFERROR(IFERROR(IFERROR(IFERROR(INDEX(日常水質!$J$24:$N$24,MATCH($A78,日常水質!$J$14:$N$14,0)),INDEX(日常水質!$J$70:$N$70,MATCH($A78,日常水質!$J$60:$N$60,0))),INDEX(日常水質!$J$116:$N$116,MATCH($A78,日常水質!$J$106:$N$106,0))),INDEX(日常水質!$J$162:$N$162,MATCH($A78,日常水質!$J$152:$N$152,0))),INDEX(日常水質!$J$208:$N$208,MATCH($A78,日常水質!$J$198:$N$198,0))),"")</f>
        <v/>
      </c>
      <c r="H78" s="1247">
        <f>IFERROR(IFERROR(IFERROR(IFERROR(IFERROR(INDEX(日常水質!$J$25:$N$25,MATCH($A78,日常水質!$J$14:$N$14,0)),INDEX(日常水質!$J$71:$N$71,MATCH($A78,日常水質!$J$60:$N$60,0))),INDEX(日常水質!$J$117:$N$117,MATCH($A78,日常水質!$J$106:$N$106,0))),INDEX(日常水質!$J$163:$N$163,MATCH($A78,日常水質!$J$152:$N$152,0))),INDEX(日常水質!$J$209:$N$209,MATCH($A78,日常水質!$J$198:$N$198,0))),"")</f>
        <v/>
      </c>
      <c r="I78" s="1248" t="n"/>
      <c r="J78" s="1249">
        <f>IFERROR(IFERROR(IFERROR(IFERROR(IFERROR(INDEX(日常水質!$J$26:$N$26,MATCH($A78,日常水質!$J$14:$N$14,0)),INDEX(日常水質!$J$72:$N$72,MATCH($A78,日常水質!$J$60:$N$60,0))),INDEX(日常水質!$J$118:$N$118,MATCH($A78,日常水質!$J$106:$N$106,0))),INDEX(日常水質!$J$164:$N$164,MATCH($A78,日常水質!$J$152:$N$152,0))),INDEX(日常水質!$J$210:$N$210,MATCH($A78,日常水質!$J$198:$N$198,0))),"")</f>
        <v/>
      </c>
      <c r="K78" s="1241" t="n"/>
      <c r="L78" s="1242" t="n"/>
      <c r="M78" s="1015" t="n"/>
      <c r="N78" s="1015" t="n"/>
    </row>
    <row r="79" ht="13.5" customHeight="1" s="614">
      <c r="A79" s="1194">
        <f>IF(ISNUMBER(A78),IF(MONTH(A78+1)=MONTH($A$8),A78+1,""),"")</f>
        <v/>
      </c>
      <c r="B79" s="1195">
        <f>IF(ISNUMBER(A79),A79,"")</f>
        <v/>
      </c>
      <c r="C79" s="1250">
        <f>IFERROR(IFERROR(IFERROR(IFERROR(IFERROR(INDEX(日常水質!$J$19:$N$19,MATCH($A79,日常水質!$J$14:$N$14,0)),INDEX(日常水質!$J$65:$N$65,MATCH($A79,日常水質!$J$60:$N$60,0))),INDEX(日常水質!$J$111:$N$111,MATCH($A79,日常水質!$J$106:$N$106,0))),INDEX(日常水質!$J$157:$N$157,MATCH($A79,日常水質!$J$152:$N$152,0))),INDEX(日常水質!$J$203:$N$203,MATCH($A79,日常水質!$J$198:$N$198,0))),"")</f>
        <v/>
      </c>
      <c r="D79" s="1251">
        <f>IFERROR(IFERROR(IFERROR(IFERROR(IFERROR(INDEX(日常水質!$J$20:$N$20,MATCH($A79,日常水質!$J$14:$N$14,0)),INDEX(日常水質!$J$66:$N$66,MATCH($A79,日常水質!$J$60:$N$60,0))),INDEX(日常水質!$J$112:$N$112,MATCH($A79,日常水質!$J$106:$N$106,0))),INDEX(日常水質!$J$158:$N$158,MATCH($A79,日常水質!$J$152:$N$152,0))),INDEX(日常水質!$J$204:$N$204,MATCH($A79,日常水質!$J$198:$N$198,0))),"")</f>
        <v/>
      </c>
      <c r="E79" s="1251" t="n"/>
      <c r="F79" s="1251">
        <f>IFERROR(IFERROR(IFERROR(IFERROR(IFERROR(INDEX(日常水質!$J$21:$N$21,MATCH($A79,日常水質!$J$14:$N$14,0)),INDEX(日常水質!$J$67:$N$67,MATCH($A79,日常水質!$J$60:$N$60,0))),INDEX(日常水質!$J$113:$N$113,MATCH($A79,日常水質!$J$106:$N$106,0))),INDEX(日常水質!$J$159:$N$159,MATCH($A79,日常水質!$J$152:$N$152,0))),INDEX(日常水質!$J$205:$N$205,MATCH($A79,日常水質!$J$198:$N$198,0))),"")</f>
        <v/>
      </c>
      <c r="G79" s="1252">
        <f>IFERROR(IFERROR(IFERROR(IFERROR(IFERROR(INDEX(日常水質!$J$24:$N$24,MATCH($A79,日常水質!$J$14:$N$14,0)),INDEX(日常水質!$J$70:$N$70,MATCH($A79,日常水質!$J$60:$N$60,0))),INDEX(日常水質!$J$116:$N$116,MATCH($A79,日常水質!$J$106:$N$106,0))),INDEX(日常水質!$J$162:$N$162,MATCH($A79,日常水質!$J$152:$N$152,0))),INDEX(日常水質!$J$208:$N$208,MATCH($A79,日常水質!$J$198:$N$198,0))),"")</f>
        <v/>
      </c>
      <c r="H79" s="1253">
        <f>IFERROR(IFERROR(IFERROR(IFERROR(IFERROR(INDEX(日常水質!$J$25:$N$25,MATCH($A79,日常水質!$J$14:$N$14,0)),INDEX(日常水質!$J$71:$N$71,MATCH($A79,日常水質!$J$60:$N$60,0))),INDEX(日常水質!$J$117:$N$117,MATCH($A79,日常水質!$J$106:$N$106,0))),INDEX(日常水質!$J$163:$N$163,MATCH($A79,日常水質!$J$152:$N$152,0))),INDEX(日常水質!$J$209:$N$209,MATCH($A79,日常水質!$J$198:$N$198,0))),"")</f>
        <v/>
      </c>
      <c r="I79" s="1254" t="n"/>
      <c r="J79" s="1255">
        <f>IFERROR(IFERROR(IFERROR(IFERROR(IFERROR(INDEX(日常水質!$J$26:$N$26,MATCH($A79,日常水質!$J$14:$N$14,0)),INDEX(日常水質!$J$72:$N$72,MATCH($A79,日常水質!$J$60:$N$60,0))),INDEX(日常水質!$J$118:$N$118,MATCH($A79,日常水質!$J$106:$N$106,0))),INDEX(日常水質!$J$164:$N$164,MATCH($A79,日常水質!$J$152:$N$152,0))),INDEX(日常水質!$J$210:$N$210,MATCH($A79,日常水質!$J$198:$N$198,0))),"")</f>
        <v/>
      </c>
      <c r="K79" s="1241" t="n"/>
      <c r="L79" s="1242" t="n"/>
      <c r="M79" s="1015" t="n"/>
      <c r="N79" s="1015" t="n"/>
    </row>
    <row r="80" ht="15" customHeight="1" s="614">
      <c r="A80" s="1256" t="inlineStr">
        <is>
          <t>最大</t>
        </is>
      </c>
      <c r="B80" s="653" t="n"/>
      <c r="C80" s="1257" t="inlineStr">
        <is>
          <t>－</t>
        </is>
      </c>
      <c r="D80" s="1257" t="inlineStr">
        <is>
          <t>－</t>
        </is>
      </c>
      <c r="E80" s="1257" t="inlineStr">
        <is>
          <t>－</t>
        </is>
      </c>
      <c r="F80" s="1258" t="inlineStr">
        <is>
          <t>－</t>
        </is>
      </c>
      <c r="G80" s="1259" t="inlineStr">
        <is>
          <t>－</t>
        </is>
      </c>
      <c r="H80" s="1257" t="inlineStr">
        <is>
          <t>－</t>
        </is>
      </c>
      <c r="I80" s="1257" t="inlineStr">
        <is>
          <t>－</t>
        </is>
      </c>
      <c r="J80" s="1260" t="inlineStr">
        <is>
          <t>－</t>
        </is>
      </c>
      <c r="K80" s="758" t="n"/>
      <c r="L80" s="1046" t="n"/>
      <c r="M80" s="1015" t="n"/>
    </row>
    <row r="81" ht="14.25" customHeight="1" s="614">
      <c r="A81" s="1261" t="inlineStr">
        <is>
          <t>平均</t>
        </is>
      </c>
      <c r="B81" s="626" t="n"/>
      <c r="C81" s="1245" t="inlineStr">
        <is>
          <t>－</t>
        </is>
      </c>
      <c r="D81" s="1245" t="inlineStr">
        <is>
          <t>－</t>
        </is>
      </c>
      <c r="E81" s="1245" t="inlineStr">
        <is>
          <t>－</t>
        </is>
      </c>
      <c r="F81" s="1262" t="inlineStr">
        <is>
          <t>－</t>
        </is>
      </c>
      <c r="G81" s="1244" t="inlineStr">
        <is>
          <t>－</t>
        </is>
      </c>
      <c r="H81" s="1245" t="inlineStr">
        <is>
          <t>－</t>
        </is>
      </c>
      <c r="I81" s="1245" t="inlineStr">
        <is>
          <t>－</t>
        </is>
      </c>
      <c r="J81" s="1263" t="inlineStr">
        <is>
          <t>－</t>
        </is>
      </c>
      <c r="K81" s="758" t="n"/>
      <c r="L81" s="1046" t="n"/>
      <c r="M81" s="1015" t="n"/>
    </row>
    <row r="82" ht="15" customHeight="1" s="614">
      <c r="A82" s="1264" t="inlineStr">
        <is>
          <t>最小</t>
        </is>
      </c>
      <c r="B82" s="1265" t="n"/>
      <c r="C82" s="1266" t="inlineStr">
        <is>
          <t>－</t>
        </is>
      </c>
      <c r="D82" s="1266" t="inlineStr">
        <is>
          <t>－</t>
        </is>
      </c>
      <c r="E82" s="1266" t="inlineStr">
        <is>
          <t>－</t>
        </is>
      </c>
      <c r="F82" s="1267" t="inlineStr">
        <is>
          <t>－</t>
        </is>
      </c>
      <c r="G82" s="1268" t="inlineStr">
        <is>
          <t>－</t>
        </is>
      </c>
      <c r="H82" s="1266" t="inlineStr">
        <is>
          <t>－</t>
        </is>
      </c>
      <c r="I82" s="1266" t="inlineStr">
        <is>
          <t>－</t>
        </is>
      </c>
      <c r="J82" s="1269" t="inlineStr">
        <is>
          <t>－</t>
        </is>
      </c>
      <c r="K82" s="758" t="n"/>
      <c r="L82" s="1046" t="n"/>
      <c r="M82" s="1015" t="n"/>
    </row>
  </sheetData>
  <mergeCells count="41">
    <mergeCell ref="O1:Q1"/>
    <mergeCell ref="B44:B48"/>
    <mergeCell ref="A82:B82"/>
    <mergeCell ref="G4:J4"/>
    <mergeCell ref="J6:J7"/>
    <mergeCell ref="G44:J44"/>
    <mergeCell ref="G46:J46"/>
    <mergeCell ref="C3:F3"/>
    <mergeCell ref="A44:A48"/>
    <mergeCell ref="C47:C48"/>
    <mergeCell ref="A41:B41"/>
    <mergeCell ref="O42:Q42"/>
    <mergeCell ref="L42:M42"/>
    <mergeCell ref="G6:G7"/>
    <mergeCell ref="M6:M7"/>
    <mergeCell ref="F47:F48"/>
    <mergeCell ref="A80:B80"/>
    <mergeCell ref="Q6:Q7"/>
    <mergeCell ref="C5:F5"/>
    <mergeCell ref="C45:F45"/>
    <mergeCell ref="C4:F4"/>
    <mergeCell ref="K4:M4"/>
    <mergeCell ref="J47:J48"/>
    <mergeCell ref="L1:M1"/>
    <mergeCell ref="L6:L7"/>
    <mergeCell ref="B3:B7"/>
    <mergeCell ref="K3:M3"/>
    <mergeCell ref="C44:F44"/>
    <mergeCell ref="G3:J3"/>
    <mergeCell ref="A81:B81"/>
    <mergeCell ref="G47:G48"/>
    <mergeCell ref="K5:M5"/>
    <mergeCell ref="C46:F46"/>
    <mergeCell ref="K6:K7"/>
    <mergeCell ref="A3:A7"/>
    <mergeCell ref="C6:C7"/>
    <mergeCell ref="A40:B40"/>
    <mergeCell ref="G5:J5"/>
    <mergeCell ref="F6:F7"/>
    <mergeCell ref="A39:B39"/>
    <mergeCell ref="G45:J45"/>
  </mergeCells>
  <printOptions horizontalCentered="1" verticalCentered="1" headings="0" gridLines="0" gridLinesSet="1"/>
  <pageMargins left="0.39375" right="0.39375" top="0.7875" bottom="0.39375" header="0.511811023622047" footer="0.511811023622047"/>
  <pageSetup orientation="landscape" paperSize="9" scale="94" fitToHeight="1" fitToWidth="1" pageOrder="downThenOver" blackAndWhite="0" draft="0" horizontalDpi="300" verticalDpi="300" copies="1"/>
  <rowBreaks count="1" manualBreakCount="1">
    <brk id="41" min="0" max="16383" man="1"/>
  </rowBreaks>
</worksheet>
</file>

<file path=xl/worksheets/sheet6.xml><?xml version="1.0" encoding="utf-8"?>
<worksheet xmlns="http://schemas.openxmlformats.org/spreadsheetml/2006/main">
  <sheetPr filterMode="0">
    <outlinePr summaryBelow="1" summaryRight="1"/>
    <pageSetUpPr fitToPage="0"/>
  </sheetPr>
  <dimension ref="A1:L145"/>
  <sheetViews>
    <sheetView showFormulas="0" showGridLines="1" showRowColHeaders="1" showZeros="1" rightToLeft="0" tabSelected="0" showOutlineSymbols="1" defaultGridColor="1" view="normal" topLeftCell="A76" colorId="64" zoomScale="100" zoomScaleNormal="100" zoomScalePageLayoutView="100" workbookViewId="0">
      <selection pane="topLeft" activeCell="K113" activeCellId="0" sqref="K113"/>
    </sheetView>
  </sheetViews>
  <sheetFormatPr baseColWidth="8" defaultColWidth="8.54296875" defaultRowHeight="12.75" zeroHeight="0" outlineLevelRow="0"/>
  <cols>
    <col width="13" customWidth="1" style="698" min="1" max="1"/>
    <col width="12.63" customWidth="1" style="698" min="2" max="2"/>
    <col width="9.630000000000001" customWidth="1" style="698" min="3" max="3"/>
    <col width="10.63" customWidth="1" style="698" min="4" max="8"/>
    <col width="10.18" customWidth="1" style="698" min="9" max="9"/>
    <col width="13" customWidth="1" style="698" min="12" max="12"/>
  </cols>
  <sheetData>
    <row r="1" ht="23.25" customHeight="1" s="614">
      <c r="A1" s="1270" t="inlineStr">
        <is>
          <t>加　計　浄　化　セ　ン　ター</t>
        </is>
      </c>
    </row>
    <row r="2" ht="13.5" customHeight="1" s="614"/>
    <row r="3" ht="18.75" customHeight="1" s="614">
      <c r="A3" s="1271" t="n"/>
      <c r="D3" s="813" t="inlineStr">
        <is>
          <t>～</t>
        </is>
      </c>
      <c r="F3" s="1271" t="n"/>
    </row>
    <row r="4" ht="13.5" customHeight="1" s="614"/>
    <row r="5" ht="13.5" customHeight="1" s="614"/>
    <row r="6" ht="20.25" customHeight="1" s="614">
      <c r="A6" s="1026" t="inlineStr">
        <is>
          <t>機　　器　　名　　称</t>
        </is>
      </c>
      <c r="B6" s="626" t="n"/>
      <c r="C6" s="627" t="n"/>
      <c r="D6" s="1026" t="inlineStr">
        <is>
          <t>月</t>
        </is>
      </c>
      <c r="E6" s="1026" t="inlineStr">
        <is>
          <t>火</t>
        </is>
      </c>
      <c r="F6" s="1026" t="inlineStr">
        <is>
          <t>水</t>
        </is>
      </c>
      <c r="G6" s="1026" t="inlineStr">
        <is>
          <t>木</t>
        </is>
      </c>
      <c r="H6" s="1026" t="inlineStr">
        <is>
          <t>金</t>
        </is>
      </c>
    </row>
    <row r="7" ht="27" customHeight="1" s="614">
      <c r="A7" s="1272" t="inlineStr">
        <is>
          <t xml:space="preserve">濃縮汚泥掻寄機　　</t>
        </is>
      </c>
      <c r="B7" s="1273" t="n"/>
      <c r="C7" s="1274" t="inlineStr">
        <is>
          <t>hr</t>
        </is>
      </c>
      <c r="D7" s="1275" t="n"/>
      <c r="E7" s="1275" t="n"/>
      <c r="F7" s="1275" t="n"/>
      <c r="G7" s="1275" t="n"/>
      <c r="H7" s="1275" t="n"/>
      <c r="J7" s="1276" t="n"/>
      <c r="L7" s="1277" t="n"/>
    </row>
    <row r="8" ht="27" customHeight="1" s="614">
      <c r="A8" s="1272" t="inlineStr">
        <is>
          <t>№１濃縮汚泥ポンプ</t>
        </is>
      </c>
      <c r="B8" s="1273" t="n"/>
      <c r="C8" s="1274" t="inlineStr">
        <is>
          <t>hr</t>
        </is>
      </c>
      <c r="D8" s="1275" t="n"/>
      <c r="E8" s="1275" t="n"/>
      <c r="F8" s="1275" t="n"/>
      <c r="G8" s="1275" t="n"/>
      <c r="H8" s="1275" t="n"/>
      <c r="J8" s="1276" t="n"/>
      <c r="L8" s="1277" t="n"/>
    </row>
    <row r="9" ht="27" customHeight="1" s="614">
      <c r="A9" s="1272" t="inlineStr">
        <is>
          <t>№２濃縮汚泥ポンプ</t>
        </is>
      </c>
      <c r="B9" s="1278" t="n"/>
      <c r="C9" s="1274" t="inlineStr">
        <is>
          <t>hr</t>
        </is>
      </c>
      <c r="D9" s="1275" t="n"/>
      <c r="E9" s="1275" t="n"/>
      <c r="F9" s="1275" t="n"/>
      <c r="G9" s="1275" t="n"/>
      <c r="H9" s="1275" t="n"/>
      <c r="J9" s="1276" t="n"/>
      <c r="L9" s="1277" t="n"/>
    </row>
    <row r="10" ht="27" customHeight="1" s="614">
      <c r="A10" s="1272" t="inlineStr">
        <is>
          <t>濃縮汚泥攪拌機</t>
        </is>
      </c>
      <c r="B10" s="1278" t="n"/>
      <c r="C10" s="1274" t="inlineStr">
        <is>
          <t>hr</t>
        </is>
      </c>
      <c r="D10" s="1275" t="n"/>
      <c r="E10" s="1275" t="n"/>
      <c r="F10" s="1275" t="n"/>
      <c r="G10" s="1275" t="n"/>
      <c r="H10" s="1275" t="n"/>
      <c r="J10" s="1276" t="n"/>
      <c r="L10" s="1277" t="n"/>
    </row>
    <row r="11" ht="27" customHeight="1" s="614">
      <c r="A11" s="1272" t="inlineStr">
        <is>
          <t>濃縮汚泥曝気ブロワ</t>
        </is>
      </c>
      <c r="B11" s="1278" t="n"/>
      <c r="C11" s="1274" t="inlineStr">
        <is>
          <t>hr</t>
        </is>
      </c>
      <c r="D11" s="1275" t="n"/>
      <c r="E11" s="1275" t="n"/>
      <c r="F11" s="1275" t="n"/>
      <c r="G11" s="1275" t="n"/>
      <c r="H11" s="1275" t="n"/>
      <c r="J11" s="1276" t="n"/>
      <c r="L11" s="1277" t="n"/>
    </row>
    <row r="12" ht="27" customHeight="1" s="614">
      <c r="A12" s="1272" t="inlineStr">
        <is>
          <t>№１返流水ポンプ</t>
        </is>
      </c>
      <c r="B12" s="1278" t="n"/>
      <c r="C12" s="1274" t="inlineStr">
        <is>
          <t>hr</t>
        </is>
      </c>
      <c r="D12" s="1275" t="n"/>
      <c r="E12" s="1275" t="n"/>
      <c r="F12" s="1275" t="n"/>
      <c r="G12" s="1275" t="n"/>
      <c r="H12" s="1275" t="n"/>
      <c r="J12" s="1276" t="n"/>
      <c r="L12" s="1277" t="n"/>
    </row>
    <row r="13" ht="27" customHeight="1" s="614">
      <c r="A13" s="1272" t="inlineStr">
        <is>
          <t>№２返流水ポンプ</t>
        </is>
      </c>
      <c r="B13" s="1278" t="n"/>
      <c r="C13" s="1274" t="inlineStr">
        <is>
          <t>hr</t>
        </is>
      </c>
      <c r="D13" s="1275" t="n"/>
      <c r="E13" s="1275" t="n"/>
      <c r="F13" s="1275" t="n"/>
      <c r="G13" s="1275" t="n"/>
      <c r="H13" s="1275" t="n"/>
      <c r="J13" s="1276" t="n"/>
      <c r="L13" s="1277" t="n"/>
    </row>
    <row r="14" ht="27" customHeight="1" s="614">
      <c r="A14" s="1272" t="inlineStr">
        <is>
          <t>№１床排水ポンプ</t>
        </is>
      </c>
      <c r="B14" s="1278" t="n"/>
      <c r="C14" s="1274" t="inlineStr">
        <is>
          <t>hr</t>
        </is>
      </c>
      <c r="D14" s="1275" t="n"/>
      <c r="E14" s="1275" t="n"/>
      <c r="F14" s="1275" t="n"/>
      <c r="G14" s="1275" t="n"/>
      <c r="H14" s="1275" t="n"/>
      <c r="J14" s="1276" t="n"/>
      <c r="L14" s="1277" t="n"/>
    </row>
    <row r="15" ht="27" customHeight="1" s="614">
      <c r="A15" s="1272" t="inlineStr">
        <is>
          <t>№２床排水ポンプ</t>
        </is>
      </c>
      <c r="B15" s="1273" t="n"/>
      <c r="C15" s="1274" t="inlineStr">
        <is>
          <t>hr</t>
        </is>
      </c>
      <c r="D15" s="1275" t="n"/>
      <c r="E15" s="1275" t="n"/>
      <c r="F15" s="1275" t="n"/>
      <c r="G15" s="1275" t="n"/>
      <c r="H15" s="1275" t="n"/>
      <c r="J15" s="1276" t="n"/>
      <c r="L15" s="1277" t="n"/>
    </row>
    <row r="16" ht="27" customHeight="1" s="614">
      <c r="A16" s="1272" t="inlineStr">
        <is>
          <t>№１曝気ブロワ</t>
        </is>
      </c>
      <c r="B16" s="1273" t="n"/>
      <c r="C16" s="1274" t="inlineStr">
        <is>
          <t>hr</t>
        </is>
      </c>
      <c r="D16" s="1275" t="n"/>
      <c r="E16" s="1275" t="n"/>
      <c r="F16" s="1275" t="n"/>
      <c r="G16" s="1275" t="n"/>
      <c r="H16" s="1275" t="n"/>
      <c r="J16" s="1276" t="n"/>
      <c r="L16" s="1277" t="n"/>
    </row>
    <row r="17" ht="27" customHeight="1" s="614">
      <c r="A17" s="1279" t="inlineStr">
        <is>
          <t>№2曝気ブロワ</t>
        </is>
      </c>
      <c r="B17" s="626" t="n"/>
      <c r="C17" s="1274" t="inlineStr">
        <is>
          <t>hr</t>
        </is>
      </c>
      <c r="D17" s="1275" t="n"/>
      <c r="E17" s="1275" t="n"/>
      <c r="F17" s="1275" t="n"/>
      <c r="G17" s="1275" t="n"/>
      <c r="H17" s="1275" t="n"/>
      <c r="J17" s="1276" t="n"/>
      <c r="L17" s="1277" t="n"/>
    </row>
    <row r="18" ht="27" customHeight="1" s="614">
      <c r="A18" s="1280" t="inlineStr">
        <is>
          <t>№１主ポンプ</t>
        </is>
      </c>
      <c r="B18" s="626" t="n"/>
      <c r="C18" s="1274" t="inlineStr">
        <is>
          <t>hr</t>
        </is>
      </c>
      <c r="D18" s="1275" t="n"/>
      <c r="E18" s="1275" t="n"/>
      <c r="F18" s="1275" t="n"/>
      <c r="G18" s="1275" t="n"/>
      <c r="H18" s="1275" t="n"/>
      <c r="J18" s="1276" t="n"/>
      <c r="L18" s="1277" t="n"/>
    </row>
    <row r="19" ht="27" customHeight="1" s="614">
      <c r="A19" s="1280" t="inlineStr">
        <is>
          <t>№２主ポンプ</t>
        </is>
      </c>
      <c r="B19" s="626" t="n"/>
      <c r="C19" s="1274" t="inlineStr">
        <is>
          <t>hr</t>
        </is>
      </c>
      <c r="D19" s="1275" t="n"/>
      <c r="E19" s="1275" t="n"/>
      <c r="F19" s="1275" t="n"/>
      <c r="G19" s="1275" t="n"/>
      <c r="H19" s="1275" t="n"/>
      <c r="J19" s="1276" t="n"/>
      <c r="L19" s="1277" t="n"/>
    </row>
    <row r="20" ht="27" customHeight="1" s="614">
      <c r="A20" s="1280" t="inlineStr">
        <is>
          <t>№１-１エアレーション装置</t>
        </is>
      </c>
      <c r="B20" s="626" t="n"/>
      <c r="C20" s="1274" t="inlineStr">
        <is>
          <t>hr</t>
        </is>
      </c>
      <c r="D20" s="1275" t="n"/>
      <c r="E20" s="1275" t="n"/>
      <c r="F20" s="1275" t="n"/>
      <c r="G20" s="1275" t="n"/>
      <c r="H20" s="1275" t="n"/>
      <c r="J20" s="1276" t="n"/>
      <c r="L20" s="1277" t="n"/>
    </row>
    <row r="21" ht="27" customHeight="1" s="614">
      <c r="A21" s="1280" t="inlineStr">
        <is>
          <t>№１-２エアレーション装置</t>
        </is>
      </c>
      <c r="B21" s="626" t="n"/>
      <c r="C21" s="1274" t="inlineStr">
        <is>
          <t>hr</t>
        </is>
      </c>
      <c r="D21" s="1275" t="n"/>
      <c r="E21" s="1275" t="n"/>
      <c r="F21" s="1275" t="n"/>
      <c r="G21" s="1275" t="n"/>
      <c r="H21" s="1275" t="n"/>
      <c r="J21" s="1276" t="n"/>
      <c r="L21" s="1277" t="n"/>
    </row>
    <row r="22" ht="27" customHeight="1" s="614">
      <c r="A22" s="1280" t="inlineStr">
        <is>
          <t>№１終沈汚泥掻寄機</t>
        </is>
      </c>
      <c r="B22" s="626" t="n"/>
      <c r="C22" s="1274" t="inlineStr">
        <is>
          <t>hr</t>
        </is>
      </c>
      <c r="D22" s="1275" t="n"/>
      <c r="E22" s="1275" t="n"/>
      <c r="F22" s="1275" t="n"/>
      <c r="G22" s="1275" t="n"/>
      <c r="H22" s="1275" t="n"/>
      <c r="J22" s="1276" t="n"/>
      <c r="L22" s="1277" t="n"/>
    </row>
    <row r="23" ht="27" customHeight="1" s="614">
      <c r="A23" s="1280" t="inlineStr">
        <is>
          <t>№１-１返送汚泥ポンプ</t>
        </is>
      </c>
      <c r="B23" s="626" t="n"/>
      <c r="C23" s="1274" t="inlineStr">
        <is>
          <t>hr</t>
        </is>
      </c>
      <c r="D23" s="1275" t="n"/>
      <c r="E23" s="1275" t="n"/>
      <c r="F23" s="1275" t="n"/>
      <c r="G23" s="1275" t="n"/>
      <c r="H23" s="1275" t="n"/>
      <c r="J23" s="1276" t="n"/>
      <c r="L23" s="1277" t="n"/>
    </row>
    <row r="24" ht="27" customHeight="1" s="614">
      <c r="A24" s="1280" t="inlineStr">
        <is>
          <t>№１-２返送汚泥ポンプ</t>
        </is>
      </c>
      <c r="B24" s="626" t="n"/>
      <c r="C24" s="1274" t="inlineStr">
        <is>
          <t>hr</t>
        </is>
      </c>
      <c r="D24" s="1275" t="n"/>
      <c r="E24" s="1275" t="n"/>
      <c r="F24" s="1275" t="n"/>
      <c r="G24" s="1275" t="n"/>
      <c r="H24" s="1275" t="n"/>
      <c r="J24" s="1276" t="n"/>
      <c r="L24" s="1277" t="n"/>
    </row>
    <row r="25" ht="27" customHeight="1" s="614">
      <c r="A25" s="1280" t="inlineStr">
        <is>
          <t>№１余剰汚泥ポンプ</t>
        </is>
      </c>
      <c r="B25" s="626" t="n"/>
      <c r="C25" s="1274" t="inlineStr">
        <is>
          <t>hr</t>
        </is>
      </c>
      <c r="D25" s="1275" t="n"/>
      <c r="E25" s="1275" t="n"/>
      <c r="F25" s="1275" t="n"/>
      <c r="G25" s="1275" t="n"/>
      <c r="H25" s="1275" t="n"/>
      <c r="J25" s="1276" t="n"/>
      <c r="L25" s="1277" t="n"/>
    </row>
    <row r="26" ht="27" customHeight="1" s="614">
      <c r="A26" s="1280" t="inlineStr">
        <is>
          <t>脱臭ファン</t>
        </is>
      </c>
      <c r="B26" s="626" t="n"/>
      <c r="C26" s="1274" t="inlineStr">
        <is>
          <t>hr</t>
        </is>
      </c>
      <c r="D26" s="1275" t="n"/>
      <c r="E26" s="1275" t="n"/>
      <c r="F26" s="1275" t="n"/>
      <c r="G26" s="1275" t="n"/>
      <c r="H26" s="1275" t="n"/>
      <c r="J26" s="1276" t="n"/>
      <c r="L26" s="1277" t="n"/>
    </row>
    <row r="27" ht="27" customHeight="1" s="614">
      <c r="A27" s="1280" t="inlineStr">
        <is>
          <t>スクリーンユニット</t>
        </is>
      </c>
      <c r="B27" s="626" t="n"/>
      <c r="C27" s="1274" t="inlineStr">
        <is>
          <t>hr</t>
        </is>
      </c>
      <c r="D27" s="1275" t="n"/>
      <c r="E27" s="1275" t="n"/>
      <c r="F27" s="1275" t="n"/>
      <c r="G27" s="1275" t="n"/>
      <c r="H27" s="1275" t="n"/>
      <c r="J27" s="1276" t="n"/>
      <c r="L27" s="1277" t="n"/>
    </row>
    <row r="28" ht="20.25" customHeight="1" s="614">
      <c r="A28" s="1281" t="inlineStr">
        <is>
          <t>備考</t>
        </is>
      </c>
      <c r="B28" s="697" t="n"/>
      <c r="C28" s="697" t="n"/>
      <c r="D28" s="697" t="n"/>
      <c r="E28" s="697" t="n"/>
      <c r="F28" s="697" t="n"/>
      <c r="G28" s="697" t="n"/>
      <c r="H28" s="1282" t="n"/>
    </row>
    <row r="29" ht="20.25" customHeight="1" s="614">
      <c r="A29" s="1283" t="n"/>
      <c r="B29" s="1284" t="n"/>
      <c r="C29" s="1284" t="n"/>
      <c r="D29" s="1284" t="n"/>
      <c r="E29" s="1284" t="n"/>
      <c r="F29" s="1284" t="n"/>
      <c r="G29" s="1284" t="n"/>
      <c r="H29" s="1285" t="n"/>
    </row>
    <row r="30" ht="23.25" customHeight="1" s="614">
      <c r="A30" s="1270" t="inlineStr">
        <is>
          <t>加　計　浄　化　セ　ン　ター</t>
        </is>
      </c>
    </row>
    <row r="31" ht="13.5" customHeight="1" s="614"/>
    <row r="32" ht="18.75" customHeight="1" s="614">
      <c r="A32" s="1271" t="n"/>
      <c r="D32" s="813" t="inlineStr">
        <is>
          <t>～</t>
        </is>
      </c>
      <c r="F32" s="1271" t="n"/>
    </row>
    <row r="33" ht="13.5" customHeight="1" s="614"/>
    <row r="34" ht="13.5" customHeight="1" s="614"/>
    <row r="35" ht="20.25" customHeight="1" s="614">
      <c r="A35" s="1026" t="inlineStr">
        <is>
          <t>機　　器　　名　　称</t>
        </is>
      </c>
      <c r="B35" s="626" t="n"/>
      <c r="C35" s="627" t="n"/>
      <c r="D35" s="1026" t="inlineStr">
        <is>
          <t>月</t>
        </is>
      </c>
      <c r="E35" s="1026" t="inlineStr">
        <is>
          <t>火</t>
        </is>
      </c>
      <c r="F35" s="1026" t="inlineStr">
        <is>
          <t>水</t>
        </is>
      </c>
      <c r="G35" s="1026" t="inlineStr">
        <is>
          <t>木</t>
        </is>
      </c>
      <c r="H35" s="1026" t="inlineStr">
        <is>
          <t>金</t>
        </is>
      </c>
    </row>
    <row r="36" ht="27" customHeight="1" s="614">
      <c r="A36" s="1272" t="inlineStr">
        <is>
          <t xml:space="preserve">濃縮汚泥掻寄機　　</t>
        </is>
      </c>
      <c r="B36" s="1273" t="n"/>
      <c r="C36" s="1274" t="inlineStr">
        <is>
          <t>hr</t>
        </is>
      </c>
      <c r="D36" s="1275" t="n"/>
      <c r="E36" s="1275" t="n"/>
      <c r="F36" s="1275" t="n"/>
      <c r="G36" s="1275" t="n"/>
      <c r="H36" s="1275" t="n"/>
      <c r="J36" s="1276" t="n"/>
      <c r="L36" s="1277" t="n"/>
    </row>
    <row r="37" ht="27" customHeight="1" s="614">
      <c r="A37" s="1272" t="inlineStr">
        <is>
          <t>№１濃縮汚泥ポンプ</t>
        </is>
      </c>
      <c r="B37" s="1273" t="n"/>
      <c r="C37" s="1274" t="inlineStr">
        <is>
          <t>hr</t>
        </is>
      </c>
      <c r="D37" s="1275" t="n"/>
      <c r="E37" s="1275" t="n"/>
      <c r="F37" s="1275" t="n"/>
      <c r="G37" s="1275" t="n"/>
      <c r="H37" s="1275" t="n"/>
      <c r="J37" s="1276" t="n"/>
      <c r="L37" s="1277" t="n"/>
    </row>
    <row r="38" ht="27" customHeight="1" s="614">
      <c r="A38" s="1272" t="inlineStr">
        <is>
          <t>№２濃縮汚泥ポンプ</t>
        </is>
      </c>
      <c r="B38" s="1278" t="n"/>
      <c r="C38" s="1274" t="inlineStr">
        <is>
          <t>hr</t>
        </is>
      </c>
      <c r="D38" s="1275" t="n"/>
      <c r="E38" s="1275" t="n"/>
      <c r="F38" s="1275" t="n"/>
      <c r="G38" s="1275" t="n"/>
      <c r="H38" s="1275" t="n"/>
      <c r="J38" s="1276" t="n"/>
      <c r="L38" s="1277" t="n"/>
    </row>
    <row r="39" ht="27" customHeight="1" s="614">
      <c r="A39" s="1272" t="inlineStr">
        <is>
          <t>濃縮汚泥攪拌機</t>
        </is>
      </c>
      <c r="B39" s="1278" t="n"/>
      <c r="C39" s="1274" t="inlineStr">
        <is>
          <t>hr</t>
        </is>
      </c>
      <c r="D39" s="1275" t="n"/>
      <c r="E39" s="1275" t="n"/>
      <c r="F39" s="1275" t="n"/>
      <c r="G39" s="1275" t="n"/>
      <c r="H39" s="1275" t="n"/>
      <c r="J39" s="1276" t="n"/>
      <c r="L39" s="1277" t="n"/>
    </row>
    <row r="40" ht="27" customHeight="1" s="614">
      <c r="A40" s="1272" t="inlineStr">
        <is>
          <t>濃縮汚泥曝気ブロワ</t>
        </is>
      </c>
      <c r="B40" s="1278" t="n"/>
      <c r="C40" s="1274" t="inlineStr">
        <is>
          <t>hr</t>
        </is>
      </c>
      <c r="D40" s="1275" t="n"/>
      <c r="E40" s="1275" t="n"/>
      <c r="F40" s="1275" t="n"/>
      <c r="G40" s="1275" t="n"/>
      <c r="H40" s="1275" t="n"/>
      <c r="J40" s="1276" t="n"/>
      <c r="L40" s="1277" t="n"/>
    </row>
    <row r="41" ht="27" customHeight="1" s="614">
      <c r="A41" s="1272" t="inlineStr">
        <is>
          <t>№１返流水ポンプ</t>
        </is>
      </c>
      <c r="B41" s="1278" t="n"/>
      <c r="C41" s="1274" t="inlineStr">
        <is>
          <t>hr</t>
        </is>
      </c>
      <c r="D41" s="1275" t="n"/>
      <c r="E41" s="1275" t="n"/>
      <c r="F41" s="1275" t="n"/>
      <c r="G41" s="1275" t="n"/>
      <c r="H41" s="1275" t="n"/>
      <c r="J41" s="1276" t="n"/>
      <c r="L41" s="1277" t="n"/>
    </row>
    <row r="42" ht="27" customHeight="1" s="614">
      <c r="A42" s="1272" t="inlineStr">
        <is>
          <t>№２返流水ポンプ</t>
        </is>
      </c>
      <c r="B42" s="1278" t="n"/>
      <c r="C42" s="1274" t="inlineStr">
        <is>
          <t>hr</t>
        </is>
      </c>
      <c r="D42" s="1275" t="n"/>
      <c r="E42" s="1275" t="n"/>
      <c r="F42" s="1275" t="n"/>
      <c r="G42" s="1275" t="n"/>
      <c r="H42" s="1275" t="n"/>
      <c r="J42" s="1276" t="n"/>
      <c r="L42" s="1277" t="n"/>
    </row>
    <row r="43" ht="27" customHeight="1" s="614">
      <c r="A43" s="1272" t="inlineStr">
        <is>
          <t>№１床排水ポンプ</t>
        </is>
      </c>
      <c r="B43" s="1278" t="n"/>
      <c r="C43" s="1274" t="inlineStr">
        <is>
          <t>hr</t>
        </is>
      </c>
      <c r="D43" s="1275" t="n"/>
      <c r="E43" s="1275" t="n"/>
      <c r="F43" s="1275" t="n"/>
      <c r="G43" s="1275" t="n"/>
      <c r="H43" s="1275" t="n"/>
      <c r="J43" s="1276" t="n"/>
      <c r="L43" s="1277" t="n"/>
    </row>
    <row r="44" ht="27" customHeight="1" s="614">
      <c r="A44" s="1272" t="inlineStr">
        <is>
          <t>№２床排水ポンプ</t>
        </is>
      </c>
      <c r="B44" s="1273" t="n"/>
      <c r="C44" s="1274" t="inlineStr">
        <is>
          <t>hr</t>
        </is>
      </c>
      <c r="D44" s="1275" t="n"/>
      <c r="E44" s="1275" t="n"/>
      <c r="F44" s="1275" t="n"/>
      <c r="G44" s="1275" t="n"/>
      <c r="H44" s="1275" t="n"/>
      <c r="J44" s="1276" t="n"/>
      <c r="L44" s="1277" t="n"/>
    </row>
    <row r="45" ht="27" customHeight="1" s="614">
      <c r="A45" s="1272" t="inlineStr">
        <is>
          <t>№１曝気ブロワ</t>
        </is>
      </c>
      <c r="B45" s="1273" t="n"/>
      <c r="C45" s="1274" t="inlineStr">
        <is>
          <t>hr</t>
        </is>
      </c>
      <c r="D45" s="1275" t="n"/>
      <c r="E45" s="1275" t="n"/>
      <c r="F45" s="1275" t="n"/>
      <c r="G45" s="1275" t="n"/>
      <c r="H45" s="1275" t="n"/>
      <c r="J45" s="1276" t="n"/>
      <c r="L45" s="1277" t="n"/>
    </row>
    <row r="46" ht="27" customHeight="1" s="614">
      <c r="A46" s="1279" t="inlineStr">
        <is>
          <t>№2曝気ブロワ</t>
        </is>
      </c>
      <c r="B46" s="626" t="n"/>
      <c r="C46" s="1274" t="inlineStr">
        <is>
          <t>hr</t>
        </is>
      </c>
      <c r="D46" s="1275" t="n"/>
      <c r="E46" s="1275" t="n"/>
      <c r="F46" s="1275" t="n"/>
      <c r="G46" s="1275" t="n"/>
      <c r="H46" s="1275" t="n"/>
      <c r="J46" s="1276" t="n"/>
      <c r="L46" s="1277" t="n"/>
    </row>
    <row r="47" ht="27" customHeight="1" s="614">
      <c r="A47" s="1280" t="inlineStr">
        <is>
          <t>№１主ポンプ</t>
        </is>
      </c>
      <c r="B47" s="626" t="n"/>
      <c r="C47" s="1274" t="inlineStr">
        <is>
          <t>hr</t>
        </is>
      </c>
      <c r="D47" s="1275" t="n"/>
      <c r="E47" s="1275" t="n"/>
      <c r="F47" s="1275" t="n"/>
      <c r="G47" s="1275" t="n"/>
      <c r="H47" s="1275" t="n"/>
      <c r="J47" s="1276" t="n"/>
      <c r="L47" s="1277" t="n"/>
    </row>
    <row r="48" ht="27" customHeight="1" s="614">
      <c r="A48" s="1280" t="inlineStr">
        <is>
          <t>№２主ポンプ</t>
        </is>
      </c>
      <c r="B48" s="626" t="n"/>
      <c r="C48" s="1274" t="inlineStr">
        <is>
          <t>hr</t>
        </is>
      </c>
      <c r="D48" s="1275" t="n"/>
      <c r="E48" s="1275" t="n"/>
      <c r="F48" s="1275" t="n"/>
      <c r="G48" s="1275" t="n"/>
      <c r="H48" s="1275" t="n"/>
      <c r="J48" s="1276" t="n"/>
      <c r="L48" s="1277" t="n"/>
    </row>
    <row r="49" ht="27" customHeight="1" s="614">
      <c r="A49" s="1280" t="inlineStr">
        <is>
          <t>№１-１エアレーション装置</t>
        </is>
      </c>
      <c r="B49" s="626" t="n"/>
      <c r="C49" s="1274" t="inlineStr">
        <is>
          <t>hr</t>
        </is>
      </c>
      <c r="D49" s="1275" t="n"/>
      <c r="E49" s="1275" t="n"/>
      <c r="F49" s="1275" t="n"/>
      <c r="G49" s="1275" t="n"/>
      <c r="H49" s="1275" t="n"/>
      <c r="J49" s="1276" t="n"/>
      <c r="L49" s="1277" t="n"/>
    </row>
    <row r="50" ht="27" customHeight="1" s="614">
      <c r="A50" s="1280" t="inlineStr">
        <is>
          <t>№１-２エアレーション装置</t>
        </is>
      </c>
      <c r="B50" s="626" t="n"/>
      <c r="C50" s="1274" t="inlineStr">
        <is>
          <t>hr</t>
        </is>
      </c>
      <c r="D50" s="1275" t="n"/>
      <c r="E50" s="1275" t="n"/>
      <c r="F50" s="1275" t="n"/>
      <c r="G50" s="1275" t="n"/>
      <c r="H50" s="1275" t="n"/>
      <c r="J50" s="1276" t="n"/>
      <c r="L50" s="1277" t="n"/>
    </row>
    <row r="51" ht="27" customHeight="1" s="614">
      <c r="A51" s="1280" t="inlineStr">
        <is>
          <t>№１終沈汚泥掻寄機</t>
        </is>
      </c>
      <c r="B51" s="626" t="n"/>
      <c r="C51" s="1274" t="inlineStr">
        <is>
          <t>hr</t>
        </is>
      </c>
      <c r="D51" s="1275" t="n"/>
      <c r="E51" s="1275" t="n"/>
      <c r="F51" s="1275" t="n"/>
      <c r="G51" s="1275" t="n"/>
      <c r="H51" s="1275" t="n"/>
      <c r="J51" s="1276" t="n"/>
      <c r="L51" s="1277" t="n"/>
    </row>
    <row r="52" ht="27" customHeight="1" s="614">
      <c r="A52" s="1280" t="inlineStr">
        <is>
          <t>№１-１返送汚泥ポンプ</t>
        </is>
      </c>
      <c r="B52" s="626" t="n"/>
      <c r="C52" s="1274" t="inlineStr">
        <is>
          <t>hr</t>
        </is>
      </c>
      <c r="D52" s="1275" t="n"/>
      <c r="E52" s="1275" t="n"/>
      <c r="F52" s="1275" t="n"/>
      <c r="G52" s="1275" t="n"/>
      <c r="H52" s="1275" t="n"/>
      <c r="J52" s="1276" t="n"/>
      <c r="L52" s="1277" t="n"/>
    </row>
    <row r="53" ht="27" customHeight="1" s="614">
      <c r="A53" s="1280" t="inlineStr">
        <is>
          <t>№１-２返送汚泥ポンプ</t>
        </is>
      </c>
      <c r="B53" s="626" t="n"/>
      <c r="C53" s="1274" t="inlineStr">
        <is>
          <t>hr</t>
        </is>
      </c>
      <c r="D53" s="1275" t="n"/>
      <c r="E53" s="1275" t="n"/>
      <c r="F53" s="1275" t="n"/>
      <c r="G53" s="1275" t="n"/>
      <c r="H53" s="1275" t="n"/>
      <c r="J53" s="1276" t="n"/>
      <c r="L53" s="1277" t="n"/>
    </row>
    <row r="54" ht="27" customHeight="1" s="614">
      <c r="A54" s="1280" t="inlineStr">
        <is>
          <t>№１余剰汚泥ポンプ</t>
        </is>
      </c>
      <c r="B54" s="626" t="n"/>
      <c r="C54" s="1274" t="inlineStr">
        <is>
          <t>hr</t>
        </is>
      </c>
      <c r="D54" s="1275" t="n"/>
      <c r="E54" s="1275" t="n"/>
      <c r="F54" s="1275" t="n"/>
      <c r="G54" s="1275" t="n"/>
      <c r="H54" s="1275" t="n"/>
      <c r="J54" s="1276" t="n"/>
      <c r="L54" s="1277" t="n"/>
    </row>
    <row r="55" ht="27" customHeight="1" s="614">
      <c r="A55" s="1280" t="inlineStr">
        <is>
          <t>脱臭ファン</t>
        </is>
      </c>
      <c r="B55" s="626" t="n"/>
      <c r="C55" s="1274" t="inlineStr">
        <is>
          <t>hr</t>
        </is>
      </c>
      <c r="D55" s="1275" t="n"/>
      <c r="E55" s="1275" t="n"/>
      <c r="F55" s="1275" t="n"/>
      <c r="G55" s="1275" t="n"/>
      <c r="H55" s="1275" t="n"/>
      <c r="J55" s="1276" t="n"/>
      <c r="L55" s="1277" t="n"/>
    </row>
    <row r="56" ht="27" customHeight="1" s="614">
      <c r="A56" s="1280" t="inlineStr">
        <is>
          <t>スクリーンユニット</t>
        </is>
      </c>
      <c r="B56" s="626" t="n"/>
      <c r="C56" s="1274" t="inlineStr">
        <is>
          <t>hr</t>
        </is>
      </c>
      <c r="D56" s="1275" t="n"/>
      <c r="E56" s="1275" t="n"/>
      <c r="F56" s="1275" t="n"/>
      <c r="G56" s="1275" t="n"/>
      <c r="H56" s="1275" t="n"/>
      <c r="J56" s="1276" t="n"/>
      <c r="L56" s="1277" t="n"/>
    </row>
    <row r="57" ht="20.25" customHeight="1" s="614">
      <c r="A57" s="1281" t="inlineStr">
        <is>
          <t>備考</t>
        </is>
      </c>
      <c r="B57" s="697" t="n"/>
      <c r="C57" s="697" t="n"/>
      <c r="D57" s="697" t="n"/>
      <c r="E57" s="697" t="n"/>
      <c r="F57" s="697" t="n"/>
      <c r="G57" s="697" t="n"/>
      <c r="H57" s="1282" t="n"/>
    </row>
    <row r="58" ht="20.25" customHeight="1" s="614">
      <c r="A58" s="1283" t="n"/>
      <c r="B58" s="1284" t="n"/>
      <c r="C58" s="1284" t="n"/>
      <c r="D58" s="1284" t="n"/>
      <c r="E58" s="1284" t="n"/>
      <c r="F58" s="1284" t="n"/>
      <c r="G58" s="1284" t="n"/>
      <c r="H58" s="1285" t="n"/>
    </row>
    <row r="59" ht="23.25" customHeight="1" s="614">
      <c r="A59" s="1270" t="inlineStr">
        <is>
          <t>加　計　浄　化　セ　ン　ター</t>
        </is>
      </c>
    </row>
    <row r="60" ht="13.5" customHeight="1" s="614"/>
    <row r="61" ht="18.75" customHeight="1" s="614">
      <c r="A61" s="1271" t="n"/>
      <c r="D61" s="813" t="inlineStr">
        <is>
          <t>～</t>
        </is>
      </c>
      <c r="F61" s="1271" t="n"/>
    </row>
    <row r="62" ht="13.5" customHeight="1" s="614"/>
    <row r="63" ht="13.5" customHeight="1" s="614"/>
    <row r="64" ht="20.25" customHeight="1" s="614">
      <c r="A64" s="1026" t="inlineStr">
        <is>
          <t>機　　器　　名　　称</t>
        </is>
      </c>
      <c r="B64" s="626" t="n"/>
      <c r="C64" s="627" t="n"/>
      <c r="D64" s="1026" t="inlineStr">
        <is>
          <t>月</t>
        </is>
      </c>
      <c r="E64" s="1026" t="inlineStr">
        <is>
          <t>火</t>
        </is>
      </c>
      <c r="F64" s="1026" t="inlineStr">
        <is>
          <t>水</t>
        </is>
      </c>
      <c r="G64" s="1026" t="inlineStr">
        <is>
          <t>木</t>
        </is>
      </c>
      <c r="H64" s="1026" t="inlineStr">
        <is>
          <t>金</t>
        </is>
      </c>
    </row>
    <row r="65" ht="27" customHeight="1" s="614">
      <c r="A65" s="1272" t="inlineStr">
        <is>
          <t xml:space="preserve">濃縮汚泥掻寄機　　</t>
        </is>
      </c>
      <c r="B65" s="1273" t="n"/>
      <c r="C65" s="1274" t="inlineStr">
        <is>
          <t>hr</t>
        </is>
      </c>
      <c r="D65" s="1275" t="n"/>
      <c r="E65" s="1275" t="n"/>
      <c r="F65" s="1275" t="n"/>
      <c r="G65" s="1275" t="n"/>
      <c r="H65" s="1275" t="n"/>
      <c r="J65" s="1276" t="n"/>
      <c r="L65" s="1277" t="n"/>
    </row>
    <row r="66" ht="27" customHeight="1" s="614">
      <c r="A66" s="1272" t="inlineStr">
        <is>
          <t>№１濃縮汚泥ポンプ</t>
        </is>
      </c>
      <c r="B66" s="1273" t="n"/>
      <c r="C66" s="1274" t="inlineStr">
        <is>
          <t>hr</t>
        </is>
      </c>
      <c r="D66" s="1275" t="n"/>
      <c r="E66" s="1275" t="n"/>
      <c r="F66" s="1275" t="n"/>
      <c r="G66" s="1275" t="n"/>
      <c r="H66" s="1275" t="n"/>
      <c r="J66" s="1276" t="n"/>
      <c r="L66" s="1277" t="n"/>
    </row>
    <row r="67" ht="27" customHeight="1" s="614">
      <c r="A67" s="1272" t="inlineStr">
        <is>
          <t>№２濃縮汚泥ポンプ</t>
        </is>
      </c>
      <c r="B67" s="1278" t="n"/>
      <c r="C67" s="1274" t="inlineStr">
        <is>
          <t>hr</t>
        </is>
      </c>
      <c r="D67" s="1275" t="n"/>
      <c r="E67" s="1275" t="n"/>
      <c r="F67" s="1275" t="n"/>
      <c r="G67" s="1275" t="n"/>
      <c r="H67" s="1275" t="n"/>
      <c r="J67" s="1276" t="n"/>
      <c r="L67" s="1277" t="n"/>
    </row>
    <row r="68" ht="27" customHeight="1" s="614">
      <c r="A68" s="1272" t="inlineStr">
        <is>
          <t>濃縮汚泥攪拌機</t>
        </is>
      </c>
      <c r="B68" s="1278" t="n"/>
      <c r="C68" s="1274" t="inlineStr">
        <is>
          <t>hr</t>
        </is>
      </c>
      <c r="D68" s="1275" t="n"/>
      <c r="E68" s="1275" t="n"/>
      <c r="F68" s="1275" t="n"/>
      <c r="G68" s="1275" t="n"/>
      <c r="H68" s="1275" t="n"/>
      <c r="J68" s="1276" t="n"/>
      <c r="L68" s="1277" t="n"/>
    </row>
    <row r="69" ht="27" customHeight="1" s="614">
      <c r="A69" s="1272" t="inlineStr">
        <is>
          <t>濃縮汚泥曝気ブロワ</t>
        </is>
      </c>
      <c r="B69" s="1278" t="n"/>
      <c r="C69" s="1274" t="inlineStr">
        <is>
          <t>hr</t>
        </is>
      </c>
      <c r="D69" s="1275" t="n"/>
      <c r="E69" s="1275" t="n"/>
      <c r="F69" s="1275" t="n"/>
      <c r="G69" s="1275" t="n"/>
      <c r="H69" s="1275" t="n"/>
      <c r="J69" s="1276" t="n"/>
      <c r="L69" s="1277" t="n"/>
    </row>
    <row r="70" ht="27" customHeight="1" s="614">
      <c r="A70" s="1272" t="inlineStr">
        <is>
          <t>№１返流水ポンプ</t>
        </is>
      </c>
      <c r="B70" s="1278" t="n"/>
      <c r="C70" s="1274" t="inlineStr">
        <is>
          <t>hr</t>
        </is>
      </c>
      <c r="D70" s="1275" t="n"/>
      <c r="E70" s="1275" t="n"/>
      <c r="F70" s="1275" t="n"/>
      <c r="G70" s="1275" t="n"/>
      <c r="H70" s="1275" t="n"/>
      <c r="J70" s="1276" t="n"/>
      <c r="L70" s="1277" t="n"/>
    </row>
    <row r="71" ht="27" customHeight="1" s="614">
      <c r="A71" s="1272" t="inlineStr">
        <is>
          <t>№２返流水ポンプ</t>
        </is>
      </c>
      <c r="B71" s="1278" t="n"/>
      <c r="C71" s="1274" t="inlineStr">
        <is>
          <t>hr</t>
        </is>
      </c>
      <c r="D71" s="1275" t="n"/>
      <c r="E71" s="1275" t="n"/>
      <c r="F71" s="1275" t="n"/>
      <c r="G71" s="1275" t="n"/>
      <c r="H71" s="1275" t="n"/>
      <c r="J71" s="1276" t="n"/>
      <c r="L71" s="1277" t="n"/>
    </row>
    <row r="72" ht="27" customHeight="1" s="614">
      <c r="A72" s="1272" t="inlineStr">
        <is>
          <t>№１床排水ポンプ</t>
        </is>
      </c>
      <c r="B72" s="1278" t="n"/>
      <c r="C72" s="1274" t="inlineStr">
        <is>
          <t>hr</t>
        </is>
      </c>
      <c r="D72" s="1275" t="n"/>
      <c r="E72" s="1275" t="n"/>
      <c r="F72" s="1275" t="n"/>
      <c r="G72" s="1275" t="n"/>
      <c r="H72" s="1275" t="n"/>
      <c r="J72" s="1276" t="n"/>
      <c r="L72" s="1277" t="n"/>
    </row>
    <row r="73" ht="27" customHeight="1" s="614">
      <c r="A73" s="1272" t="inlineStr">
        <is>
          <t>№２床排水ポンプ</t>
        </is>
      </c>
      <c r="B73" s="1273" t="n"/>
      <c r="C73" s="1274" t="inlineStr">
        <is>
          <t>hr</t>
        </is>
      </c>
      <c r="D73" s="1275" t="n"/>
      <c r="E73" s="1275" t="n"/>
      <c r="F73" s="1275" t="n"/>
      <c r="G73" s="1275" t="n"/>
      <c r="H73" s="1275" t="n"/>
      <c r="J73" s="1276" t="n"/>
      <c r="L73" s="1277" t="n"/>
    </row>
    <row r="74" ht="27" customHeight="1" s="614">
      <c r="A74" s="1272" t="inlineStr">
        <is>
          <t>№１曝気ブロワ</t>
        </is>
      </c>
      <c r="B74" s="1273" t="n"/>
      <c r="C74" s="1274" t="inlineStr">
        <is>
          <t>hr</t>
        </is>
      </c>
      <c r="D74" s="1275" t="n"/>
      <c r="E74" s="1275" t="n"/>
      <c r="F74" s="1275" t="n"/>
      <c r="G74" s="1275" t="n"/>
      <c r="H74" s="1275" t="n"/>
      <c r="J74" s="1276" t="n"/>
      <c r="L74" s="1277" t="n"/>
    </row>
    <row r="75" ht="27" customHeight="1" s="614">
      <c r="A75" s="1279" t="inlineStr">
        <is>
          <t>№2曝気ブロワ</t>
        </is>
      </c>
      <c r="B75" s="626" t="n"/>
      <c r="C75" s="1274" t="inlineStr">
        <is>
          <t>hr</t>
        </is>
      </c>
      <c r="D75" s="1275" t="n"/>
      <c r="E75" s="1275" t="n"/>
      <c r="F75" s="1275" t="n"/>
      <c r="G75" s="1275" t="n"/>
      <c r="H75" s="1275" t="n"/>
      <c r="J75" s="1276" t="n"/>
      <c r="L75" s="1277" t="n"/>
    </row>
    <row r="76" ht="27" customHeight="1" s="614">
      <c r="A76" s="1280" t="inlineStr">
        <is>
          <t>№１主ポンプ</t>
        </is>
      </c>
      <c r="B76" s="626" t="n"/>
      <c r="C76" s="1274" t="inlineStr">
        <is>
          <t>hr</t>
        </is>
      </c>
      <c r="D76" s="1275" t="n"/>
      <c r="E76" s="1275" t="n"/>
      <c r="F76" s="1275" t="n"/>
      <c r="G76" s="1275" t="n"/>
      <c r="H76" s="1275" t="n"/>
      <c r="J76" s="1276" t="n"/>
      <c r="L76" s="1277" t="n"/>
    </row>
    <row r="77" ht="27" customHeight="1" s="614">
      <c r="A77" s="1280" t="inlineStr">
        <is>
          <t>№２主ポンプ</t>
        </is>
      </c>
      <c r="B77" s="626" t="n"/>
      <c r="C77" s="1274" t="inlineStr">
        <is>
          <t>hr</t>
        </is>
      </c>
      <c r="D77" s="1275" t="n"/>
      <c r="E77" s="1275" t="n"/>
      <c r="F77" s="1275" t="n"/>
      <c r="G77" s="1275" t="n"/>
      <c r="H77" s="1275" t="n"/>
      <c r="J77" s="1276" t="n"/>
      <c r="L77" s="1277" t="n"/>
    </row>
    <row r="78" ht="27" customHeight="1" s="614">
      <c r="A78" s="1280" t="inlineStr">
        <is>
          <t>№１-１エアレーション装置</t>
        </is>
      </c>
      <c r="B78" s="626" t="n"/>
      <c r="C78" s="1274" t="inlineStr">
        <is>
          <t>hr</t>
        </is>
      </c>
      <c r="D78" s="1275" t="n"/>
      <c r="E78" s="1275" t="n"/>
      <c r="F78" s="1275" t="n"/>
      <c r="G78" s="1275" t="n"/>
      <c r="H78" s="1275" t="n"/>
      <c r="J78" s="1276" t="n"/>
      <c r="L78" s="1277" t="n"/>
    </row>
    <row r="79" ht="27" customHeight="1" s="614">
      <c r="A79" s="1280" t="inlineStr">
        <is>
          <t>№１-２エアレーション装置</t>
        </is>
      </c>
      <c r="B79" s="626" t="n"/>
      <c r="C79" s="1274" t="inlineStr">
        <is>
          <t>hr</t>
        </is>
      </c>
      <c r="D79" s="1275" t="n"/>
      <c r="E79" s="1275" t="n"/>
      <c r="F79" s="1275" t="n"/>
      <c r="G79" s="1275" t="n"/>
      <c r="H79" s="1275" t="n"/>
      <c r="J79" s="1276" t="n"/>
      <c r="L79" s="1277" t="n"/>
    </row>
    <row r="80" ht="27" customHeight="1" s="614">
      <c r="A80" s="1280" t="inlineStr">
        <is>
          <t>№１終沈汚泥掻寄機</t>
        </is>
      </c>
      <c r="B80" s="626" t="n"/>
      <c r="C80" s="1274" t="inlineStr">
        <is>
          <t>hr</t>
        </is>
      </c>
      <c r="D80" s="1275" t="n"/>
      <c r="E80" s="1275" t="n"/>
      <c r="F80" s="1275" t="n"/>
      <c r="G80" s="1275" t="n"/>
      <c r="H80" s="1275" t="n"/>
      <c r="J80" s="1276" t="n"/>
      <c r="L80" s="1277" t="n"/>
    </row>
    <row r="81" ht="27" customHeight="1" s="614">
      <c r="A81" s="1280" t="inlineStr">
        <is>
          <t>№１-１返送汚泥ポンプ</t>
        </is>
      </c>
      <c r="B81" s="626" t="n"/>
      <c r="C81" s="1274" t="inlineStr">
        <is>
          <t>hr</t>
        </is>
      </c>
      <c r="D81" s="1275" t="n"/>
      <c r="E81" s="1275" t="n"/>
      <c r="F81" s="1275" t="n"/>
      <c r="G81" s="1275" t="n"/>
      <c r="H81" s="1275" t="n"/>
      <c r="J81" s="1276" t="n"/>
      <c r="L81" s="1277" t="n"/>
    </row>
    <row r="82" ht="27" customHeight="1" s="614">
      <c r="A82" s="1280" t="inlineStr">
        <is>
          <t>№１-２返送汚泥ポンプ</t>
        </is>
      </c>
      <c r="B82" s="626" t="n"/>
      <c r="C82" s="1274" t="inlineStr">
        <is>
          <t>hr</t>
        </is>
      </c>
      <c r="D82" s="1275" t="n"/>
      <c r="E82" s="1275" t="n"/>
      <c r="F82" s="1275" t="n"/>
      <c r="G82" s="1275" t="n"/>
      <c r="H82" s="1275" t="n"/>
      <c r="J82" s="1276" t="n"/>
      <c r="L82" s="1277" t="n"/>
    </row>
    <row r="83" ht="27" customHeight="1" s="614">
      <c r="A83" s="1280" t="inlineStr">
        <is>
          <t>№１余剰汚泥ポンプ</t>
        </is>
      </c>
      <c r="B83" s="626" t="n"/>
      <c r="C83" s="1274" t="inlineStr">
        <is>
          <t>hr</t>
        </is>
      </c>
      <c r="D83" s="1275" t="n"/>
      <c r="E83" s="1275" t="n"/>
      <c r="F83" s="1275" t="n"/>
      <c r="G83" s="1275" t="n"/>
      <c r="H83" s="1275" t="n"/>
      <c r="J83" s="1276" t="n"/>
      <c r="L83" s="1277" t="n"/>
    </row>
    <row r="84" ht="27" customHeight="1" s="614">
      <c r="A84" s="1280" t="inlineStr">
        <is>
          <t>脱臭ファン</t>
        </is>
      </c>
      <c r="B84" s="626" t="n"/>
      <c r="C84" s="1274" t="inlineStr">
        <is>
          <t>hr</t>
        </is>
      </c>
      <c r="D84" s="1275" t="n"/>
      <c r="E84" s="1275" t="n"/>
      <c r="F84" s="1275" t="n"/>
      <c r="G84" s="1275" t="n"/>
      <c r="H84" s="1275" t="n"/>
      <c r="J84" s="1276" t="n"/>
      <c r="L84" s="1277" t="n"/>
    </row>
    <row r="85" ht="27" customHeight="1" s="614">
      <c r="A85" s="1280" t="inlineStr">
        <is>
          <t>スクリーンユニット</t>
        </is>
      </c>
      <c r="B85" s="626" t="n"/>
      <c r="C85" s="1274" t="inlineStr">
        <is>
          <t>hr</t>
        </is>
      </c>
      <c r="D85" s="1275" t="n"/>
      <c r="E85" s="1275" t="n"/>
      <c r="F85" s="1275" t="n"/>
      <c r="G85" s="1275" t="n"/>
      <c r="H85" s="1275" t="n"/>
      <c r="J85" s="1276" t="n"/>
      <c r="L85" s="1277" t="n"/>
    </row>
    <row r="86" ht="20.25" customHeight="1" s="614">
      <c r="A86" s="1281" t="inlineStr">
        <is>
          <t>備考</t>
        </is>
      </c>
      <c r="B86" s="697" t="n"/>
      <c r="C86" s="697" t="n"/>
      <c r="D86" s="697" t="n"/>
      <c r="E86" s="697" t="n"/>
      <c r="F86" s="697" t="n"/>
      <c r="G86" s="697" t="n"/>
      <c r="H86" s="1282" t="n"/>
    </row>
    <row r="87" ht="20.25" customHeight="1" s="614">
      <c r="A87" s="1283" t="n"/>
      <c r="B87" s="1284" t="n"/>
      <c r="C87" s="1284" t="n"/>
      <c r="D87" s="1284" t="n"/>
      <c r="E87" s="1284" t="n"/>
      <c r="F87" s="1284" t="n"/>
      <c r="G87" s="1284" t="n"/>
      <c r="H87" s="1285" t="n"/>
    </row>
    <row r="88" ht="23.25" customHeight="1" s="614">
      <c r="A88" s="1270" t="inlineStr">
        <is>
          <t>加　計　浄　化　セ　ン　ター</t>
        </is>
      </c>
    </row>
    <row r="89" ht="13.5" customHeight="1" s="614"/>
    <row r="90" ht="18.75" customHeight="1" s="614">
      <c r="A90" s="1271" t="n"/>
      <c r="D90" s="813" t="inlineStr">
        <is>
          <t>～</t>
        </is>
      </c>
      <c r="F90" s="1271" t="n"/>
    </row>
    <row r="91" ht="13.5" customHeight="1" s="614"/>
    <row r="92" ht="13.5" customHeight="1" s="614"/>
    <row r="93" ht="20.25" customHeight="1" s="614">
      <c r="A93" s="1026" t="inlineStr">
        <is>
          <t>機　　器　　名　　称</t>
        </is>
      </c>
      <c r="B93" s="626" t="n"/>
      <c r="C93" s="627" t="n"/>
      <c r="D93" s="1026" t="inlineStr">
        <is>
          <t>月</t>
        </is>
      </c>
      <c r="E93" s="1026" t="inlineStr">
        <is>
          <t>火</t>
        </is>
      </c>
      <c r="F93" s="1026" t="inlineStr">
        <is>
          <t>水</t>
        </is>
      </c>
      <c r="G93" s="1026" t="inlineStr">
        <is>
          <t>木</t>
        </is>
      </c>
      <c r="H93" s="1026" t="inlineStr">
        <is>
          <t>金</t>
        </is>
      </c>
    </row>
    <row r="94" ht="27" customHeight="1" s="614">
      <c r="A94" s="1272" t="inlineStr">
        <is>
          <t xml:space="preserve">濃縮汚泥掻寄機　　</t>
        </is>
      </c>
      <c r="B94" s="1273" t="n"/>
      <c r="C94" s="1274" t="inlineStr">
        <is>
          <t>hr</t>
        </is>
      </c>
      <c r="D94" s="1275" t="n"/>
      <c r="E94" s="1275" t="n"/>
      <c r="F94" s="1275" t="n"/>
      <c r="G94" s="1275" t="n"/>
      <c r="H94" s="1275" t="n"/>
      <c r="J94" s="1276" t="n"/>
      <c r="L94" s="1277" t="n"/>
    </row>
    <row r="95" ht="27" customHeight="1" s="614">
      <c r="A95" s="1272" t="inlineStr">
        <is>
          <t>№１濃縮汚泥ポンプ</t>
        </is>
      </c>
      <c r="B95" s="1273" t="n"/>
      <c r="C95" s="1274" t="inlineStr">
        <is>
          <t>hr</t>
        </is>
      </c>
      <c r="D95" s="1275" t="n"/>
      <c r="E95" s="1275" t="n"/>
      <c r="F95" s="1275" t="n"/>
      <c r="G95" s="1275" t="n"/>
      <c r="H95" s="1275" t="n"/>
      <c r="J95" s="1276" t="n"/>
      <c r="L95" s="1277" t="n"/>
    </row>
    <row r="96" ht="27" customHeight="1" s="614">
      <c r="A96" s="1272" t="inlineStr">
        <is>
          <t>№２濃縮汚泥ポンプ</t>
        </is>
      </c>
      <c r="B96" s="1278" t="n"/>
      <c r="C96" s="1274" t="inlineStr">
        <is>
          <t>hr</t>
        </is>
      </c>
      <c r="D96" s="1275" t="n"/>
      <c r="E96" s="1275" t="n"/>
      <c r="F96" s="1275" t="n"/>
      <c r="G96" s="1275" t="n"/>
      <c r="H96" s="1275" t="n"/>
      <c r="J96" s="1276" t="n"/>
      <c r="L96" s="1277" t="n"/>
    </row>
    <row r="97" ht="27" customHeight="1" s="614">
      <c r="A97" s="1272" t="inlineStr">
        <is>
          <t>濃縮汚泥攪拌機</t>
        </is>
      </c>
      <c r="B97" s="1278" t="n"/>
      <c r="C97" s="1274" t="inlineStr">
        <is>
          <t>hr</t>
        </is>
      </c>
      <c r="D97" s="1275" t="n"/>
      <c r="E97" s="1275" t="n"/>
      <c r="F97" s="1275" t="n"/>
      <c r="G97" s="1275" t="n"/>
      <c r="H97" s="1275" t="n"/>
      <c r="J97" s="1276" t="n"/>
      <c r="L97" s="1277" t="n"/>
    </row>
    <row r="98" ht="27" customHeight="1" s="614">
      <c r="A98" s="1272" t="inlineStr">
        <is>
          <t>濃縮汚泥曝気ブロワ</t>
        </is>
      </c>
      <c r="B98" s="1278" t="n"/>
      <c r="C98" s="1274" t="inlineStr">
        <is>
          <t>hr</t>
        </is>
      </c>
      <c r="D98" s="1275" t="n"/>
      <c r="E98" s="1275" t="n"/>
      <c r="F98" s="1275" t="n"/>
      <c r="G98" s="1275" t="n"/>
      <c r="H98" s="1275" t="n"/>
      <c r="J98" s="1276" t="n"/>
      <c r="L98" s="1277" t="n"/>
    </row>
    <row r="99" ht="27" customHeight="1" s="614">
      <c r="A99" s="1272" t="inlineStr">
        <is>
          <t>№１返流水ポンプ</t>
        </is>
      </c>
      <c r="B99" s="1278" t="n"/>
      <c r="C99" s="1274" t="inlineStr">
        <is>
          <t>hr</t>
        </is>
      </c>
      <c r="D99" s="1275" t="n"/>
      <c r="E99" s="1275" t="n"/>
      <c r="F99" s="1275" t="n"/>
      <c r="G99" s="1275" t="n"/>
      <c r="H99" s="1275" t="n"/>
      <c r="J99" s="1276" t="n"/>
      <c r="L99" s="1277" t="n"/>
    </row>
    <row r="100" ht="27" customHeight="1" s="614">
      <c r="A100" s="1272" t="inlineStr">
        <is>
          <t>№２返流水ポンプ</t>
        </is>
      </c>
      <c r="B100" s="1278" t="n"/>
      <c r="C100" s="1274" t="inlineStr">
        <is>
          <t>hr</t>
        </is>
      </c>
      <c r="D100" s="1275" t="n"/>
      <c r="E100" s="1275" t="n"/>
      <c r="F100" s="1275" t="n"/>
      <c r="G100" s="1275" t="n"/>
      <c r="H100" s="1275" t="n"/>
      <c r="J100" s="1276" t="n"/>
      <c r="L100" s="1277" t="n"/>
    </row>
    <row r="101" ht="27" customHeight="1" s="614">
      <c r="A101" s="1272" t="inlineStr">
        <is>
          <t>№１床排水ポンプ</t>
        </is>
      </c>
      <c r="B101" s="1278" t="n"/>
      <c r="C101" s="1274" t="inlineStr">
        <is>
          <t>hr</t>
        </is>
      </c>
      <c r="D101" s="1275" t="n"/>
      <c r="E101" s="1275" t="n"/>
      <c r="F101" s="1275" t="n"/>
      <c r="G101" s="1275" t="n"/>
      <c r="H101" s="1275" t="n"/>
      <c r="J101" s="1276" t="n"/>
      <c r="L101" s="1277" t="n"/>
    </row>
    <row r="102" ht="27" customHeight="1" s="614">
      <c r="A102" s="1272" t="inlineStr">
        <is>
          <t>№２床排水ポンプ</t>
        </is>
      </c>
      <c r="B102" s="1273" t="n"/>
      <c r="C102" s="1274" t="inlineStr">
        <is>
          <t>hr</t>
        </is>
      </c>
      <c r="D102" s="1275" t="n"/>
      <c r="E102" s="1275" t="n"/>
      <c r="F102" s="1275" t="n"/>
      <c r="G102" s="1275" t="n"/>
      <c r="H102" s="1275" t="n"/>
      <c r="J102" s="1276" t="n"/>
      <c r="L102" s="1277" t="n"/>
    </row>
    <row r="103" ht="27" customHeight="1" s="614">
      <c r="A103" s="1272" t="inlineStr">
        <is>
          <t>№１曝気ブロワ</t>
        </is>
      </c>
      <c r="B103" s="1273" t="n"/>
      <c r="C103" s="1274" t="inlineStr">
        <is>
          <t>hr</t>
        </is>
      </c>
      <c r="D103" s="1275" t="n"/>
      <c r="E103" s="1275" t="n"/>
      <c r="F103" s="1275" t="n"/>
      <c r="G103" s="1275" t="n"/>
      <c r="H103" s="1275" t="n"/>
      <c r="J103" s="1276" t="n"/>
      <c r="L103" s="1277" t="n"/>
    </row>
    <row r="104" ht="27" customHeight="1" s="614">
      <c r="A104" s="1279" t="inlineStr">
        <is>
          <t>№2曝気ブロワ</t>
        </is>
      </c>
      <c r="B104" s="626" t="n"/>
      <c r="C104" s="1274" t="inlineStr">
        <is>
          <t>hr</t>
        </is>
      </c>
      <c r="D104" s="1275" t="n"/>
      <c r="E104" s="1275" t="n"/>
      <c r="F104" s="1275" t="n"/>
      <c r="G104" s="1275" t="n"/>
      <c r="H104" s="1275" t="n"/>
      <c r="J104" s="1276" t="n"/>
      <c r="L104" s="1277" t="n"/>
    </row>
    <row r="105" ht="27" customHeight="1" s="614">
      <c r="A105" s="1280" t="inlineStr">
        <is>
          <t>№１主ポンプ</t>
        </is>
      </c>
      <c r="B105" s="626" t="n"/>
      <c r="C105" s="1274" t="inlineStr">
        <is>
          <t>hr</t>
        </is>
      </c>
      <c r="D105" s="1275" t="n"/>
      <c r="E105" s="1275" t="n"/>
      <c r="F105" s="1275" t="n"/>
      <c r="G105" s="1275" t="n"/>
      <c r="H105" s="1275" t="n"/>
      <c r="J105" s="1276" t="n"/>
      <c r="L105" s="1277" t="n"/>
    </row>
    <row r="106" ht="27" customHeight="1" s="614">
      <c r="A106" s="1280" t="inlineStr">
        <is>
          <t>№２主ポンプ</t>
        </is>
      </c>
      <c r="B106" s="626" t="n"/>
      <c r="C106" s="1274" t="inlineStr">
        <is>
          <t>hr</t>
        </is>
      </c>
      <c r="D106" s="1275" t="n"/>
      <c r="E106" s="1275" t="n"/>
      <c r="F106" s="1275" t="n"/>
      <c r="G106" s="1275" t="n"/>
      <c r="H106" s="1275" t="n"/>
      <c r="J106" s="1276" t="n"/>
      <c r="L106" s="1277" t="n"/>
    </row>
    <row r="107" ht="27" customHeight="1" s="614">
      <c r="A107" s="1280" t="inlineStr">
        <is>
          <t>№１-１エアレーション装置</t>
        </is>
      </c>
      <c r="B107" s="626" t="n"/>
      <c r="C107" s="1274" t="inlineStr">
        <is>
          <t>hr</t>
        </is>
      </c>
      <c r="D107" s="1275" t="n"/>
      <c r="E107" s="1275" t="n"/>
      <c r="F107" s="1275" t="n"/>
      <c r="G107" s="1275" t="n"/>
      <c r="H107" s="1275" t="n"/>
      <c r="J107" s="1276" t="n"/>
      <c r="L107" s="1277" t="n"/>
    </row>
    <row r="108" ht="27" customHeight="1" s="614">
      <c r="A108" s="1280" t="inlineStr">
        <is>
          <t>№１-２エアレーション装置</t>
        </is>
      </c>
      <c r="B108" s="626" t="n"/>
      <c r="C108" s="1274" t="inlineStr">
        <is>
          <t>hr</t>
        </is>
      </c>
      <c r="D108" s="1275" t="n"/>
      <c r="E108" s="1275" t="n"/>
      <c r="F108" s="1275" t="n"/>
      <c r="G108" s="1275" t="n"/>
      <c r="H108" s="1275" t="n"/>
      <c r="J108" s="1276" t="n"/>
      <c r="L108" s="1277" t="n"/>
    </row>
    <row r="109" ht="27" customHeight="1" s="614">
      <c r="A109" s="1280" t="inlineStr">
        <is>
          <t>№１終沈汚泥掻寄機</t>
        </is>
      </c>
      <c r="B109" s="626" t="n"/>
      <c r="C109" s="1274" t="inlineStr">
        <is>
          <t>hr</t>
        </is>
      </c>
      <c r="D109" s="1275" t="n"/>
      <c r="E109" s="1275" t="n"/>
      <c r="F109" s="1275" t="n"/>
      <c r="G109" s="1275" t="n"/>
      <c r="H109" s="1275" t="n"/>
      <c r="J109" s="1276" t="n"/>
      <c r="L109" s="1277" t="n"/>
    </row>
    <row r="110" ht="27" customHeight="1" s="614">
      <c r="A110" s="1280" t="inlineStr">
        <is>
          <t>№１-１返送汚泥ポンプ</t>
        </is>
      </c>
      <c r="B110" s="626" t="n"/>
      <c r="C110" s="1274" t="inlineStr">
        <is>
          <t>hr</t>
        </is>
      </c>
      <c r="D110" s="1275" t="n"/>
      <c r="E110" s="1275" t="n"/>
      <c r="F110" s="1275" t="n"/>
      <c r="G110" s="1275" t="n"/>
      <c r="H110" s="1275" t="n"/>
      <c r="J110" s="1276" t="n"/>
      <c r="L110" s="1277" t="n"/>
    </row>
    <row r="111" ht="27" customHeight="1" s="614">
      <c r="A111" s="1280" t="inlineStr">
        <is>
          <t>№１-２返送汚泥ポンプ</t>
        </is>
      </c>
      <c r="B111" s="626" t="n"/>
      <c r="C111" s="1274" t="inlineStr">
        <is>
          <t>hr</t>
        </is>
      </c>
      <c r="D111" s="1275" t="n"/>
      <c r="E111" s="1275" t="n"/>
      <c r="F111" s="1275" t="n"/>
      <c r="G111" s="1275" t="n"/>
      <c r="H111" s="1275" t="n"/>
      <c r="J111" s="1276" t="n"/>
      <c r="L111" s="1277" t="n"/>
    </row>
    <row r="112" ht="27" customHeight="1" s="614">
      <c r="A112" s="1280" t="inlineStr">
        <is>
          <t>№１余剰汚泥ポンプ</t>
        </is>
      </c>
      <c r="B112" s="626" t="n"/>
      <c r="C112" s="1274" t="inlineStr">
        <is>
          <t>hr</t>
        </is>
      </c>
      <c r="D112" s="1275" t="n"/>
      <c r="E112" s="1275" t="n"/>
      <c r="F112" s="1275" t="n"/>
      <c r="G112" s="1275" t="n"/>
      <c r="H112" s="1275" t="n"/>
      <c r="J112" s="1276" t="n"/>
      <c r="L112" s="1277" t="n"/>
    </row>
    <row r="113" ht="27" customHeight="1" s="614">
      <c r="A113" s="1280" t="inlineStr">
        <is>
          <t>脱臭ファン</t>
        </is>
      </c>
      <c r="B113" s="626" t="n"/>
      <c r="C113" s="1274" t="inlineStr">
        <is>
          <t>hr</t>
        </is>
      </c>
      <c r="D113" s="1275" t="n"/>
      <c r="E113" s="1275" t="n"/>
      <c r="F113" s="1275" t="n"/>
      <c r="G113" s="1275" t="n"/>
      <c r="H113" s="1275" t="n"/>
      <c r="J113" s="1276" t="n"/>
      <c r="L113" s="1277" t="n"/>
    </row>
    <row r="114" ht="27" customHeight="1" s="614">
      <c r="A114" s="1280" t="inlineStr">
        <is>
          <t>スクリーンユニット</t>
        </is>
      </c>
      <c r="B114" s="626" t="n"/>
      <c r="C114" s="1274" t="inlineStr">
        <is>
          <t>hr</t>
        </is>
      </c>
      <c r="D114" s="1275" t="n"/>
      <c r="E114" s="1275" t="n"/>
      <c r="F114" s="1275" t="n"/>
      <c r="G114" s="1275" t="n"/>
      <c r="H114" s="1275" t="n"/>
      <c r="J114" s="1276" t="n"/>
      <c r="L114" s="1277" t="n"/>
    </row>
    <row r="115" ht="20.25" customHeight="1" s="614">
      <c r="A115" s="1281" t="inlineStr">
        <is>
          <t>備考</t>
        </is>
      </c>
      <c r="B115" s="697" t="n"/>
      <c r="C115" s="697" t="n"/>
      <c r="D115" s="697" t="n"/>
      <c r="E115" s="697" t="n"/>
      <c r="F115" s="697" t="n"/>
      <c r="G115" s="697" t="n"/>
      <c r="H115" s="1282" t="n"/>
    </row>
    <row r="116" ht="20.25" customHeight="1" s="614">
      <c r="A116" s="1283" t="n"/>
      <c r="B116" s="1284" t="n"/>
      <c r="C116" s="1284" t="n"/>
      <c r="D116" s="1284" t="n"/>
      <c r="E116" s="1284" t="n"/>
      <c r="F116" s="1284" t="n"/>
      <c r="G116" s="1284" t="n"/>
      <c r="H116" s="1285" t="n"/>
    </row>
    <row r="117" ht="23.25" customHeight="1" s="614">
      <c r="A117" s="1270" t="inlineStr">
        <is>
          <t>加　計　浄　化　セ　ン　ター</t>
        </is>
      </c>
    </row>
    <row r="118" ht="13.5" customHeight="1" s="614"/>
    <row r="119" ht="18.75" customHeight="1" s="614">
      <c r="A119" s="1271" t="n"/>
      <c r="D119" s="813" t="inlineStr">
        <is>
          <t>～</t>
        </is>
      </c>
      <c r="F119" s="1271" t="n"/>
    </row>
    <row r="120" ht="13.5" customHeight="1" s="614"/>
    <row r="121" ht="13.5" customHeight="1" s="614"/>
    <row r="122" ht="20.25" customHeight="1" s="614">
      <c r="A122" s="1026" t="inlineStr">
        <is>
          <t>機　　器　　名　　称</t>
        </is>
      </c>
      <c r="B122" s="626" t="n"/>
      <c r="C122" s="627" t="n"/>
      <c r="D122" s="1026" t="inlineStr">
        <is>
          <t>月</t>
        </is>
      </c>
      <c r="E122" s="1026" t="inlineStr">
        <is>
          <t>火</t>
        </is>
      </c>
      <c r="F122" s="1026" t="inlineStr">
        <is>
          <t>水</t>
        </is>
      </c>
      <c r="G122" s="1026" t="inlineStr">
        <is>
          <t>木</t>
        </is>
      </c>
      <c r="H122" s="1026" t="inlineStr">
        <is>
          <t>金</t>
        </is>
      </c>
    </row>
    <row r="123" ht="27" customHeight="1" s="614">
      <c r="A123" s="1272" t="inlineStr">
        <is>
          <t xml:space="preserve">濃縮汚泥掻寄機　　</t>
        </is>
      </c>
      <c r="B123" s="1273" t="n"/>
      <c r="C123" s="1274" t="inlineStr">
        <is>
          <t>hr</t>
        </is>
      </c>
      <c r="D123" s="1275" t="n"/>
      <c r="E123" s="1275" t="n"/>
      <c r="F123" s="1275" t="n"/>
      <c r="G123" s="1275" t="n"/>
      <c r="H123" s="1275" t="n"/>
      <c r="J123" s="1276" t="n"/>
      <c r="L123" s="1277" t="n"/>
    </row>
    <row r="124" ht="27" customHeight="1" s="614">
      <c r="A124" s="1272" t="inlineStr">
        <is>
          <t>№１濃縮汚泥ポンプ</t>
        </is>
      </c>
      <c r="B124" s="1273" t="n"/>
      <c r="C124" s="1274" t="inlineStr">
        <is>
          <t>hr</t>
        </is>
      </c>
      <c r="D124" s="1275" t="n"/>
      <c r="E124" s="1275" t="n"/>
      <c r="F124" s="1275" t="n"/>
      <c r="G124" s="1275" t="n"/>
      <c r="H124" s="1275" t="n"/>
      <c r="J124" s="1276" t="n"/>
      <c r="L124" s="1277" t="n"/>
    </row>
    <row r="125" ht="27" customHeight="1" s="614">
      <c r="A125" s="1272" t="inlineStr">
        <is>
          <t>№２濃縮汚泥ポンプ</t>
        </is>
      </c>
      <c r="B125" s="1278" t="n"/>
      <c r="C125" s="1274" t="inlineStr">
        <is>
          <t>hr</t>
        </is>
      </c>
      <c r="D125" s="1275" t="n"/>
      <c r="E125" s="1275" t="n"/>
      <c r="F125" s="1275" t="n"/>
      <c r="G125" s="1275" t="n"/>
      <c r="H125" s="1275" t="n"/>
      <c r="J125" s="1276" t="n"/>
      <c r="L125" s="1277" t="n"/>
    </row>
    <row r="126" ht="27" customHeight="1" s="614">
      <c r="A126" s="1272" t="inlineStr">
        <is>
          <t>濃縮汚泥攪拌機</t>
        </is>
      </c>
      <c r="B126" s="1278" t="n"/>
      <c r="C126" s="1274" t="inlineStr">
        <is>
          <t>hr</t>
        </is>
      </c>
      <c r="D126" s="1275" t="n"/>
      <c r="E126" s="1275" t="n"/>
      <c r="F126" s="1275" t="n"/>
      <c r="G126" s="1275" t="n"/>
      <c r="H126" s="1275" t="n"/>
      <c r="J126" s="1276" t="n"/>
      <c r="L126" s="1277" t="n"/>
    </row>
    <row r="127" ht="27" customHeight="1" s="614">
      <c r="A127" s="1272" t="inlineStr">
        <is>
          <t>濃縮汚泥曝気ブロワ</t>
        </is>
      </c>
      <c r="B127" s="1278" t="n"/>
      <c r="C127" s="1274" t="inlineStr">
        <is>
          <t>hr</t>
        </is>
      </c>
      <c r="D127" s="1275" t="n"/>
      <c r="E127" s="1275" t="n"/>
      <c r="F127" s="1275" t="n"/>
      <c r="G127" s="1275" t="n"/>
      <c r="H127" s="1275" t="n"/>
      <c r="J127" s="1276" t="n"/>
      <c r="L127" s="1277" t="n"/>
    </row>
    <row r="128" ht="27" customHeight="1" s="614">
      <c r="A128" s="1272" t="inlineStr">
        <is>
          <t>№１返流水ポンプ</t>
        </is>
      </c>
      <c r="B128" s="1278" t="n"/>
      <c r="C128" s="1274" t="inlineStr">
        <is>
          <t>hr</t>
        </is>
      </c>
      <c r="D128" s="1275" t="n"/>
      <c r="E128" s="1275" t="n"/>
      <c r="F128" s="1275" t="n"/>
      <c r="G128" s="1275" t="n"/>
      <c r="H128" s="1275" t="n"/>
      <c r="J128" s="1276" t="n"/>
      <c r="L128" s="1277" t="n"/>
    </row>
    <row r="129" ht="27" customHeight="1" s="614">
      <c r="A129" s="1272" t="inlineStr">
        <is>
          <t>№２返流水ポンプ</t>
        </is>
      </c>
      <c r="B129" s="1278" t="n"/>
      <c r="C129" s="1274" t="inlineStr">
        <is>
          <t>hr</t>
        </is>
      </c>
      <c r="D129" s="1275" t="n"/>
      <c r="E129" s="1275" t="n"/>
      <c r="F129" s="1275" t="n"/>
      <c r="G129" s="1275" t="n"/>
      <c r="H129" s="1275" t="n"/>
      <c r="J129" s="1276" t="n"/>
      <c r="L129" s="1277" t="n"/>
    </row>
    <row r="130" ht="27" customHeight="1" s="614">
      <c r="A130" s="1272" t="inlineStr">
        <is>
          <t>№１床排水ポンプ</t>
        </is>
      </c>
      <c r="B130" s="1278" t="n"/>
      <c r="C130" s="1274" t="inlineStr">
        <is>
          <t>hr</t>
        </is>
      </c>
      <c r="D130" s="1275" t="n"/>
      <c r="E130" s="1275" t="n"/>
      <c r="F130" s="1275" t="n"/>
      <c r="G130" s="1275" t="n"/>
      <c r="H130" s="1275" t="n"/>
      <c r="J130" s="1276" t="n"/>
      <c r="L130" s="1277" t="n"/>
    </row>
    <row r="131" ht="27" customHeight="1" s="614">
      <c r="A131" s="1272" t="inlineStr">
        <is>
          <t>№２床排水ポンプ</t>
        </is>
      </c>
      <c r="B131" s="1273" t="n"/>
      <c r="C131" s="1274" t="inlineStr">
        <is>
          <t>hr</t>
        </is>
      </c>
      <c r="D131" s="1275" t="n"/>
      <c r="E131" s="1275" t="n"/>
      <c r="F131" s="1275" t="n"/>
      <c r="G131" s="1275" t="n"/>
      <c r="H131" s="1275" t="n"/>
      <c r="J131" s="1276" t="n"/>
      <c r="L131" s="1277" t="n"/>
    </row>
    <row r="132" ht="27" customHeight="1" s="614">
      <c r="A132" s="1272" t="inlineStr">
        <is>
          <t>№１曝気ブロワ</t>
        </is>
      </c>
      <c r="B132" s="1273" t="n"/>
      <c r="C132" s="1274" t="inlineStr">
        <is>
          <t>hr</t>
        </is>
      </c>
      <c r="D132" s="1275" t="n"/>
      <c r="E132" s="1275" t="n"/>
      <c r="F132" s="1275" t="n"/>
      <c r="G132" s="1275" t="n"/>
      <c r="H132" s="1275" t="n"/>
      <c r="J132" s="1276" t="n"/>
      <c r="L132" s="1277" t="n"/>
    </row>
    <row r="133" ht="27" customHeight="1" s="614">
      <c r="A133" s="1279" t="inlineStr">
        <is>
          <t>№2曝気ブロワ</t>
        </is>
      </c>
      <c r="B133" s="626" t="n"/>
      <c r="C133" s="1274" t="inlineStr">
        <is>
          <t>hr</t>
        </is>
      </c>
      <c r="D133" s="1275" t="n"/>
      <c r="E133" s="1275" t="n"/>
      <c r="F133" s="1275" t="n"/>
      <c r="G133" s="1275" t="n"/>
      <c r="H133" s="1275" t="n"/>
      <c r="J133" s="1276" t="n"/>
      <c r="L133" s="1277" t="n"/>
    </row>
    <row r="134" ht="27" customHeight="1" s="614">
      <c r="A134" s="1280" t="inlineStr">
        <is>
          <t>№１主ポンプ</t>
        </is>
      </c>
      <c r="B134" s="626" t="n"/>
      <c r="C134" s="1274" t="inlineStr">
        <is>
          <t>hr</t>
        </is>
      </c>
      <c r="D134" s="1275" t="n"/>
      <c r="E134" s="1275" t="n"/>
      <c r="F134" s="1275" t="n"/>
      <c r="G134" s="1275" t="n"/>
      <c r="H134" s="1275" t="n"/>
      <c r="J134" s="1276" t="n"/>
      <c r="L134" s="1277" t="n"/>
    </row>
    <row r="135" ht="27" customHeight="1" s="614">
      <c r="A135" s="1280" t="inlineStr">
        <is>
          <t>№２主ポンプ</t>
        </is>
      </c>
      <c r="B135" s="626" t="n"/>
      <c r="C135" s="1274" t="inlineStr">
        <is>
          <t>hr</t>
        </is>
      </c>
      <c r="D135" s="1275" t="n"/>
      <c r="E135" s="1275" t="n"/>
      <c r="F135" s="1275" t="n"/>
      <c r="G135" s="1275" t="n"/>
      <c r="H135" s="1275" t="n"/>
      <c r="J135" s="1276" t="n"/>
      <c r="L135" s="1277" t="n"/>
    </row>
    <row r="136" ht="27" customHeight="1" s="614">
      <c r="A136" s="1280" t="inlineStr">
        <is>
          <t>№１-１エアレーション装置</t>
        </is>
      </c>
      <c r="B136" s="626" t="n"/>
      <c r="C136" s="1274" t="inlineStr">
        <is>
          <t>hr</t>
        </is>
      </c>
      <c r="D136" s="1275" t="n"/>
      <c r="E136" s="1275" t="n"/>
      <c r="F136" s="1275" t="n"/>
      <c r="G136" s="1275" t="n"/>
      <c r="H136" s="1275" t="n"/>
      <c r="J136" s="1276" t="n"/>
      <c r="L136" s="1277" t="n"/>
    </row>
    <row r="137" ht="27" customHeight="1" s="614">
      <c r="A137" s="1280" t="inlineStr">
        <is>
          <t>№１-２エアレーション装置</t>
        </is>
      </c>
      <c r="B137" s="626" t="n"/>
      <c r="C137" s="1274" t="inlineStr">
        <is>
          <t>hr</t>
        </is>
      </c>
      <c r="D137" s="1275" t="n"/>
      <c r="E137" s="1275" t="n"/>
      <c r="F137" s="1275" t="n"/>
      <c r="G137" s="1275" t="n"/>
      <c r="H137" s="1275" t="n"/>
      <c r="J137" s="1276" t="n"/>
      <c r="L137" s="1277" t="n"/>
    </row>
    <row r="138" ht="27" customHeight="1" s="614">
      <c r="A138" s="1280" t="inlineStr">
        <is>
          <t>№１終沈汚泥掻寄機</t>
        </is>
      </c>
      <c r="B138" s="626" t="n"/>
      <c r="C138" s="1274" t="inlineStr">
        <is>
          <t>hr</t>
        </is>
      </c>
      <c r="D138" s="1275" t="n"/>
      <c r="E138" s="1275" t="n"/>
      <c r="F138" s="1275" t="n"/>
      <c r="G138" s="1275" t="n"/>
      <c r="H138" s="1275" t="n"/>
      <c r="J138" s="1276" t="n"/>
      <c r="L138" s="1277" t="n"/>
    </row>
    <row r="139" ht="27" customHeight="1" s="614">
      <c r="A139" s="1280" t="inlineStr">
        <is>
          <t>№１-１返送汚泥ポンプ</t>
        </is>
      </c>
      <c r="B139" s="626" t="n"/>
      <c r="C139" s="1274" t="inlineStr">
        <is>
          <t>hr</t>
        </is>
      </c>
      <c r="D139" s="1275" t="n"/>
      <c r="E139" s="1275" t="n"/>
      <c r="F139" s="1275" t="n"/>
      <c r="G139" s="1275" t="n"/>
      <c r="H139" s="1275" t="n"/>
      <c r="J139" s="1276" t="n"/>
      <c r="L139" s="1277" t="n"/>
    </row>
    <row r="140" ht="27" customHeight="1" s="614">
      <c r="A140" s="1280" t="inlineStr">
        <is>
          <t>№１-２返送汚泥ポンプ</t>
        </is>
      </c>
      <c r="B140" s="626" t="n"/>
      <c r="C140" s="1274" t="inlineStr">
        <is>
          <t>hr</t>
        </is>
      </c>
      <c r="D140" s="1275" t="n"/>
      <c r="E140" s="1275" t="n"/>
      <c r="F140" s="1275" t="n"/>
      <c r="G140" s="1275" t="n"/>
      <c r="H140" s="1275" t="n"/>
      <c r="J140" s="1276" t="n"/>
      <c r="L140" s="1277" t="n"/>
    </row>
    <row r="141" ht="27" customHeight="1" s="614">
      <c r="A141" s="1280" t="inlineStr">
        <is>
          <t>№１余剰汚泥ポンプ</t>
        </is>
      </c>
      <c r="B141" s="626" t="n"/>
      <c r="C141" s="1274" t="inlineStr">
        <is>
          <t>hr</t>
        </is>
      </c>
      <c r="D141" s="1275" t="n"/>
      <c r="E141" s="1275" t="n"/>
      <c r="F141" s="1275" t="n"/>
      <c r="G141" s="1275" t="n"/>
      <c r="H141" s="1275" t="n"/>
      <c r="J141" s="1276" t="n"/>
      <c r="L141" s="1277" t="n"/>
    </row>
    <row r="142" ht="27" customHeight="1" s="614">
      <c r="A142" s="1280" t="inlineStr">
        <is>
          <t>脱臭ファン</t>
        </is>
      </c>
      <c r="B142" s="626" t="n"/>
      <c r="C142" s="1274" t="inlineStr">
        <is>
          <t>hr</t>
        </is>
      </c>
      <c r="D142" s="1275" t="n"/>
      <c r="E142" s="1275" t="n"/>
      <c r="F142" s="1275" t="n"/>
      <c r="G142" s="1275" t="n"/>
      <c r="H142" s="1275" t="n"/>
      <c r="J142" s="1276" t="n"/>
      <c r="L142" s="1277" t="n"/>
    </row>
    <row r="143" ht="27" customHeight="1" s="614">
      <c r="A143" s="1280" t="inlineStr">
        <is>
          <t>スクリーンユニット</t>
        </is>
      </c>
      <c r="B143" s="626" t="n"/>
      <c r="C143" s="1274" t="inlineStr">
        <is>
          <t>hr</t>
        </is>
      </c>
      <c r="D143" s="1275" t="n"/>
      <c r="E143" s="1275" t="n"/>
      <c r="F143" s="1275" t="n"/>
      <c r="G143" s="1275" t="n"/>
      <c r="H143" s="1275" t="n"/>
      <c r="J143" s="1276" t="n"/>
      <c r="L143" s="1277" t="n"/>
    </row>
    <row r="144" ht="20.25" customHeight="1" s="614">
      <c r="A144" s="1281" t="inlineStr">
        <is>
          <t>備考</t>
        </is>
      </c>
      <c r="B144" s="697" t="n"/>
      <c r="C144" s="697" t="n"/>
      <c r="D144" s="697" t="n"/>
      <c r="E144" s="697" t="n"/>
      <c r="F144" s="697" t="n"/>
      <c r="G144" s="697" t="n"/>
      <c r="H144" s="1282" t="n"/>
    </row>
    <row r="145" ht="20.25" customHeight="1" s="614">
      <c r="A145" s="1283" t="n"/>
      <c r="B145" s="1284" t="n"/>
      <c r="C145" s="1284" t="n"/>
      <c r="D145" s="1284" t="n"/>
      <c r="E145" s="1284" t="n"/>
      <c r="F145" s="1284" t="n"/>
      <c r="G145" s="1284" t="n"/>
      <c r="H145" s="1285" t="n"/>
    </row>
  </sheetData>
  <mergeCells count="80">
    <mergeCell ref="A51:B51"/>
    <mergeCell ref="A107:B107"/>
    <mergeCell ref="A54:B54"/>
    <mergeCell ref="D61:E61"/>
    <mergeCell ref="A56:B56"/>
    <mergeCell ref="A27:B27"/>
    <mergeCell ref="F61:H61"/>
    <mergeCell ref="A76:B76"/>
    <mergeCell ref="A93:C93"/>
    <mergeCell ref="A85:B85"/>
    <mergeCell ref="A17:B17"/>
    <mergeCell ref="A140:B140"/>
    <mergeCell ref="A53:B53"/>
    <mergeCell ref="A22:B22"/>
    <mergeCell ref="A109:B109"/>
    <mergeCell ref="A19:B19"/>
    <mergeCell ref="A6:C6"/>
    <mergeCell ref="A119:C119"/>
    <mergeCell ref="A111:B111"/>
    <mergeCell ref="A48:B48"/>
    <mergeCell ref="A142:B142"/>
    <mergeCell ref="D90:E90"/>
    <mergeCell ref="A3:C3"/>
    <mergeCell ref="A79:B79"/>
    <mergeCell ref="A32:C32"/>
    <mergeCell ref="A137:B137"/>
    <mergeCell ref="A46:B46"/>
    <mergeCell ref="A136:B136"/>
    <mergeCell ref="A105:B105"/>
    <mergeCell ref="A26:B26"/>
    <mergeCell ref="A139:B139"/>
    <mergeCell ref="F119:H119"/>
    <mergeCell ref="A52:B52"/>
    <mergeCell ref="F3:H3"/>
    <mergeCell ref="A77:B77"/>
    <mergeCell ref="A83:B83"/>
    <mergeCell ref="A143:B143"/>
    <mergeCell ref="A30:H30"/>
    <mergeCell ref="A59:H59"/>
    <mergeCell ref="A49:B49"/>
    <mergeCell ref="F32:H32"/>
    <mergeCell ref="A88:H88"/>
    <mergeCell ref="A78:B78"/>
    <mergeCell ref="F90:H90"/>
    <mergeCell ref="A75:B75"/>
    <mergeCell ref="A133:B133"/>
    <mergeCell ref="A122:C122"/>
    <mergeCell ref="A80:B80"/>
    <mergeCell ref="A55:B55"/>
    <mergeCell ref="A21:B21"/>
    <mergeCell ref="A104:B104"/>
    <mergeCell ref="A113:B113"/>
    <mergeCell ref="A23:B23"/>
    <mergeCell ref="D3:E3"/>
    <mergeCell ref="A106:B106"/>
    <mergeCell ref="A64:C64"/>
    <mergeCell ref="A61:C61"/>
    <mergeCell ref="A117:H117"/>
    <mergeCell ref="A24:B24"/>
    <mergeCell ref="A90:C90"/>
    <mergeCell ref="A82:B82"/>
    <mergeCell ref="D119:E119"/>
    <mergeCell ref="A138:B138"/>
    <mergeCell ref="A1:H1"/>
    <mergeCell ref="A110:B110"/>
    <mergeCell ref="A25:B25"/>
    <mergeCell ref="A108:B108"/>
    <mergeCell ref="A84:B84"/>
    <mergeCell ref="D32:E32"/>
    <mergeCell ref="A18:B18"/>
    <mergeCell ref="A35:C35"/>
    <mergeCell ref="A50:B50"/>
    <mergeCell ref="A47:B47"/>
    <mergeCell ref="A141:B141"/>
    <mergeCell ref="A135:B135"/>
    <mergeCell ref="A20:B20"/>
    <mergeCell ref="A134:B134"/>
    <mergeCell ref="A81:B81"/>
    <mergeCell ref="A112:B112"/>
    <mergeCell ref="A114:B1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大野町</dc:creator>
  <dc:language xmlns:dc="http://purl.org/dc/elements/1.1/">en-US</dc:language>
  <dcterms:created xmlns:dcterms="http://purl.org/dc/terms/" xmlns:xsi="http://www.w3.org/2001/XMLSchema-instance" xsi:type="dcterms:W3CDTF">2006-04-19T06:21:19Z</dcterms:created>
  <dcterms:modified xmlns:dcterms="http://purl.org/dc/terms/" xmlns:xsi="http://www.w3.org/2001/XMLSchema-instance" xsi:type="dcterms:W3CDTF">2026-04-26T16:39:13Z</dcterms:modified>
  <cp:lastModifiedBy>main 0wner</cp:lastModifiedBy>
  <cp:revision>0</cp:revision>
  <cp:lastPrinted>2026-01-13T08:50:30Z</cp:lastPrinted>
</cp:coreProperties>
</file>